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rrowPopBall\TableExporter\excel\"/>
    </mc:Choice>
  </mc:AlternateContent>
  <xr:revisionPtr revIDLastSave="0" documentId="13_ncr:1_{4A2CA8DB-4B62-420C-8A38-94FB85069F4C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common_types" sheetId="11" r:id="rId1"/>
    <sheet name="game_types" sheetId="10" r:id="rId2"/>
    <sheet name="ads_types" sheetId="8" r:id="rId3"/>
    <sheet name="error_types" sheetId="4" r:id="rId4"/>
    <sheet name="item_types" sheetId="5" r:id="rId5"/>
    <sheet name="haptic_types" sheetId="6" r:id="rId6"/>
    <sheet name="push_types" sheetId="7" r:id="rId7"/>
    <sheet name="shop_types" sheetId="12" r:id="rId8"/>
    <sheet name="event_types" sheetId="14" r:id="rId9"/>
  </sheets>
  <definedNames>
    <definedName name="_xlnm._FilterDatabase" localSheetId="2" hidden="1">ads_types!#REF!</definedName>
    <definedName name="_xlnm._FilterDatabase" localSheetId="0" hidden="1">common_types!#REF!</definedName>
    <definedName name="_xlnm._FilterDatabase" localSheetId="3" hidden="1">error_types!#REF!</definedName>
    <definedName name="_xlnm._FilterDatabase" localSheetId="8" hidden="1">event_types!#REF!</definedName>
    <definedName name="_xlnm._FilterDatabase" localSheetId="1" hidden="1">game_types!#REF!</definedName>
    <definedName name="_xlnm._FilterDatabase" localSheetId="5" hidden="1">haptic_types!#REF!</definedName>
    <definedName name="_xlnm._FilterDatabase" localSheetId="4" hidden="1">item_types!$D$5:$D$5</definedName>
    <definedName name="_xlnm._FilterDatabase" localSheetId="6" hidden="1">push_types!#REF!</definedName>
    <definedName name="_xlnm._FilterDatabase" localSheetId="7" hidden="1">shop_types!#REF!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2" l="1"/>
  <c r="F35" i="12"/>
  <c r="F9" i="14"/>
  <c r="B9" i="14"/>
  <c r="F34" i="8"/>
  <c r="B34" i="8"/>
  <c r="F21" i="8"/>
  <c r="B21" i="8"/>
  <c r="F20" i="8"/>
  <c r="B20" i="8"/>
  <c r="F37" i="8"/>
  <c r="B37" i="8"/>
  <c r="F36" i="8"/>
  <c r="B36" i="8"/>
  <c r="F35" i="8"/>
  <c r="B35" i="8"/>
  <c r="F19" i="8"/>
  <c r="B19" i="8"/>
  <c r="B24" i="12"/>
  <c r="F24" i="12"/>
  <c r="B44" i="12"/>
  <c r="F44" i="12"/>
  <c r="B43" i="12"/>
  <c r="F43" i="12"/>
  <c r="B34" i="12"/>
  <c r="F34" i="12"/>
  <c r="F8" i="14"/>
  <c r="B8" i="14"/>
  <c r="B136" i="10"/>
  <c r="F136" i="10"/>
  <c r="B137" i="10"/>
  <c r="F137" i="10"/>
  <c r="B33" i="12"/>
  <c r="F33" i="12"/>
  <c r="B32" i="12"/>
  <c r="F32" i="12"/>
  <c r="F7" i="14"/>
  <c r="B7" i="14"/>
  <c r="F42" i="12"/>
  <c r="B42" i="12"/>
  <c r="B31" i="12"/>
  <c r="F31" i="12"/>
  <c r="F10" i="7"/>
  <c r="B10" i="7"/>
  <c r="F9" i="7"/>
  <c r="F8" i="7"/>
  <c r="F7" i="7"/>
  <c r="B9" i="7"/>
  <c r="B8" i="7"/>
  <c r="B7" i="7"/>
  <c r="F41" i="12"/>
  <c r="F18" i="12"/>
  <c r="B18" i="12"/>
  <c r="B107" i="10"/>
  <c r="F107" i="10"/>
  <c r="B108" i="10"/>
  <c r="F108" i="10"/>
  <c r="B56" i="10"/>
  <c r="F56" i="10"/>
  <c r="B55" i="10"/>
  <c r="F55" i="10"/>
  <c r="B106" i="10"/>
  <c r="F106" i="10"/>
  <c r="B54" i="10"/>
  <c r="F54" i="10"/>
  <c r="B53" i="10"/>
  <c r="F53" i="10"/>
  <c r="B52" i="10"/>
  <c r="F52" i="10"/>
  <c r="B51" i="10"/>
  <c r="F51" i="10"/>
  <c r="B50" i="10"/>
  <c r="F50" i="10"/>
  <c r="F18" i="8"/>
  <c r="B18" i="8"/>
  <c r="F17" i="8"/>
  <c r="B17" i="8"/>
  <c r="F33" i="8"/>
  <c r="B33" i="8"/>
  <c r="F32" i="8"/>
  <c r="B32" i="8"/>
  <c r="B30" i="12"/>
  <c r="F30" i="12"/>
  <c r="F29" i="12"/>
  <c r="B29" i="12"/>
  <c r="F26" i="5"/>
  <c r="F27" i="5"/>
  <c r="B26" i="5"/>
  <c r="B27" i="5"/>
  <c r="B105" i="10"/>
  <c r="F105" i="10"/>
  <c r="F23" i="5"/>
  <c r="F22" i="5"/>
  <c r="F21" i="5"/>
  <c r="F20" i="5"/>
  <c r="F19" i="5"/>
  <c r="B23" i="5"/>
  <c r="B22" i="5"/>
  <c r="B21" i="5"/>
  <c r="B20" i="5"/>
  <c r="B19" i="5"/>
  <c r="F18" i="5"/>
  <c r="B18" i="5"/>
  <c r="B41" i="12"/>
  <c r="F40" i="12"/>
  <c r="B40" i="12"/>
  <c r="F39" i="12"/>
  <c r="B39" i="12"/>
  <c r="F38" i="12"/>
  <c r="B38" i="12"/>
  <c r="F37" i="12"/>
  <c r="B37" i="12"/>
  <c r="F36" i="12"/>
  <c r="B36" i="12"/>
  <c r="F28" i="12"/>
  <c r="B28" i="12"/>
  <c r="F27" i="12"/>
  <c r="B27" i="12"/>
  <c r="F26" i="12"/>
  <c r="B26" i="12"/>
  <c r="F25" i="12"/>
  <c r="B25" i="12"/>
  <c r="F21" i="12"/>
  <c r="B21" i="12"/>
  <c r="B125" i="10"/>
  <c r="F125" i="10"/>
  <c r="F23" i="12"/>
  <c r="B118" i="10"/>
  <c r="F118" i="10"/>
  <c r="B130" i="10"/>
  <c r="F130" i="10"/>
  <c r="B131" i="10"/>
  <c r="F131" i="10"/>
  <c r="B49" i="10"/>
  <c r="F49" i="10"/>
  <c r="B85" i="10"/>
  <c r="F85" i="10"/>
  <c r="B129" i="10"/>
  <c r="F129" i="10"/>
  <c r="B132" i="10"/>
  <c r="F132" i="10"/>
  <c r="B133" i="10"/>
  <c r="F133" i="10"/>
  <c r="B134" i="10"/>
  <c r="F134" i="10"/>
  <c r="B135" i="10"/>
  <c r="F135" i="10"/>
  <c r="B117" i="10"/>
  <c r="F117" i="10"/>
  <c r="B119" i="10"/>
  <c r="F119" i="10"/>
  <c r="B120" i="10"/>
  <c r="F120" i="10"/>
  <c r="B121" i="10"/>
  <c r="F121" i="10"/>
  <c r="B122" i="10"/>
  <c r="F122" i="10"/>
  <c r="B123" i="10"/>
  <c r="F123" i="10"/>
  <c r="B124" i="10"/>
  <c r="F124" i="10"/>
  <c r="B126" i="10"/>
  <c r="F126" i="10"/>
  <c r="B127" i="10"/>
  <c r="F127" i="10"/>
  <c r="B128" i="10"/>
  <c r="F128" i="10"/>
  <c r="F116" i="10"/>
  <c r="B116" i="10"/>
  <c r="B100" i="10"/>
  <c r="F104" i="10"/>
  <c r="F48" i="10"/>
  <c r="B66" i="10"/>
  <c r="F66" i="10"/>
  <c r="B67" i="10"/>
  <c r="F67" i="10"/>
  <c r="B68" i="10"/>
  <c r="F68" i="10"/>
  <c r="F46" i="10"/>
  <c r="F47" i="10"/>
  <c r="B84" i="10"/>
  <c r="F84" i="10"/>
  <c r="F25" i="5"/>
  <c r="B25" i="5"/>
  <c r="F24" i="5"/>
  <c r="B24" i="5"/>
  <c r="F37" i="5"/>
  <c r="B37" i="5"/>
  <c r="F115" i="10"/>
  <c r="B115" i="10"/>
  <c r="F114" i="10"/>
  <c r="B114" i="10"/>
  <c r="F113" i="10"/>
  <c r="B113" i="10"/>
  <c r="F103" i="10"/>
  <c r="B98" i="10"/>
  <c r="B99" i="10"/>
  <c r="B109" i="10"/>
  <c r="B110" i="10"/>
  <c r="B111" i="10"/>
  <c r="B112" i="10"/>
  <c r="F112" i="10"/>
  <c r="F111" i="10"/>
  <c r="B46" i="10" l="1"/>
  <c r="B23" i="12"/>
  <c r="F17" i="5"/>
  <c r="B17" i="5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B37" i="11"/>
  <c r="B36" i="11"/>
  <c r="B35" i="11"/>
  <c r="B34" i="11"/>
  <c r="B33" i="11"/>
  <c r="B32" i="11"/>
  <c r="B31" i="11"/>
  <c r="F23" i="11"/>
  <c r="F22" i="11"/>
  <c r="B39" i="11"/>
  <c r="B38" i="11"/>
  <c r="B30" i="11"/>
  <c r="B29" i="11"/>
  <c r="B28" i="11"/>
  <c r="B27" i="11"/>
  <c r="B26" i="11"/>
  <c r="B25" i="11"/>
  <c r="B24" i="11"/>
  <c r="B23" i="11"/>
  <c r="B22" i="11"/>
  <c r="F102" i="10"/>
  <c r="F6" i="14"/>
  <c r="B6" i="14"/>
  <c r="B22" i="12"/>
  <c r="F22" i="12"/>
  <c r="F20" i="12"/>
  <c r="B20" i="12"/>
  <c r="F19" i="12"/>
  <c r="B19" i="12"/>
  <c r="F17" i="12"/>
  <c r="B17" i="12"/>
  <c r="B101" i="10" l="1"/>
  <c r="B47" i="10"/>
  <c r="B48" i="10"/>
  <c r="F16" i="12"/>
  <c r="B16" i="12"/>
  <c r="B102" i="10" l="1"/>
  <c r="F29" i="8"/>
  <c r="F30" i="8"/>
  <c r="F31" i="8"/>
  <c r="B31" i="8"/>
  <c r="B30" i="8"/>
  <c r="B29" i="8"/>
  <c r="B104" i="10" l="1"/>
  <c r="B103" i="10"/>
  <c r="F26" i="8"/>
  <c r="B26" i="8"/>
  <c r="B40" i="11" l="1"/>
  <c r="B41" i="11"/>
  <c r="B42" i="11"/>
  <c r="B43" i="11"/>
  <c r="F21" i="11"/>
  <c r="F40" i="11"/>
  <c r="F41" i="11"/>
  <c r="F42" i="11"/>
  <c r="F43" i="11"/>
  <c r="B21" i="11"/>
  <c r="F8" i="11" l="1"/>
  <c r="F9" i="11"/>
  <c r="F10" i="11"/>
  <c r="F11" i="11"/>
  <c r="F12" i="11"/>
  <c r="F13" i="11"/>
  <c r="F14" i="11"/>
  <c r="F15" i="11"/>
  <c r="F16" i="11"/>
  <c r="F17" i="11"/>
  <c r="F18" i="11"/>
  <c r="F19" i="11"/>
  <c r="F20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73" i="10" l="1"/>
  <c r="F73" i="10"/>
  <c r="F99" i="10"/>
  <c r="F109" i="10"/>
  <c r="F110" i="10"/>
  <c r="F100" i="10"/>
  <c r="F101" i="10"/>
  <c r="F35" i="10"/>
  <c r="B65" i="10"/>
  <c r="F65" i="10"/>
  <c r="F90" i="10"/>
  <c r="F91" i="10"/>
  <c r="F92" i="10"/>
  <c r="F93" i="10"/>
  <c r="F94" i="10"/>
  <c r="F95" i="10"/>
  <c r="F96" i="10"/>
  <c r="F97" i="10"/>
  <c r="F98" i="10"/>
  <c r="B91" i="10"/>
  <c r="B92" i="10"/>
  <c r="B93" i="10"/>
  <c r="B94" i="10"/>
  <c r="B95" i="10"/>
  <c r="B96" i="10"/>
  <c r="B97" i="10"/>
  <c r="B90" i="10"/>
  <c r="F5" i="14" l="1"/>
  <c r="B5" i="14"/>
  <c r="F57" i="10" l="1"/>
  <c r="F58" i="10"/>
  <c r="F59" i="10"/>
  <c r="F60" i="10"/>
  <c r="F61" i="10"/>
  <c r="F62" i="10"/>
  <c r="F63" i="10"/>
  <c r="F64" i="10"/>
  <c r="F69" i="10"/>
  <c r="F70" i="10"/>
  <c r="F71" i="10"/>
  <c r="F72" i="10"/>
  <c r="F74" i="10"/>
  <c r="F75" i="10"/>
  <c r="F76" i="10"/>
  <c r="F77" i="10"/>
  <c r="F78" i="10"/>
  <c r="F79" i="10"/>
  <c r="F80" i="10"/>
  <c r="F81" i="10"/>
  <c r="F82" i="10"/>
  <c r="F83" i="10"/>
  <c r="F86" i="10"/>
  <c r="F87" i="10"/>
  <c r="F88" i="10"/>
  <c r="F89" i="10"/>
  <c r="F28" i="10"/>
  <c r="F29" i="10"/>
  <c r="F30" i="10"/>
  <c r="F31" i="10"/>
  <c r="F32" i="10"/>
  <c r="F33" i="10"/>
  <c r="F34" i="10"/>
  <c r="F36" i="10"/>
  <c r="F37" i="10"/>
  <c r="F38" i="10"/>
  <c r="F39" i="10"/>
  <c r="F40" i="10"/>
  <c r="F41" i="10"/>
  <c r="F42" i="10"/>
  <c r="F43" i="10"/>
  <c r="F44" i="10"/>
  <c r="F45" i="10"/>
  <c r="B57" i="10"/>
  <c r="B58" i="10"/>
  <c r="B59" i="10"/>
  <c r="B60" i="10"/>
  <c r="B61" i="10"/>
  <c r="B62" i="10"/>
  <c r="B63" i="10"/>
  <c r="B64" i="10"/>
  <c r="B69" i="10"/>
  <c r="B70" i="10"/>
  <c r="B71" i="10"/>
  <c r="B72" i="10"/>
  <c r="B74" i="10"/>
  <c r="B75" i="10"/>
  <c r="B76" i="10"/>
  <c r="B77" i="10"/>
  <c r="B78" i="10"/>
  <c r="B79" i="10"/>
  <c r="B80" i="10"/>
  <c r="B81" i="10"/>
  <c r="B82" i="10"/>
  <c r="B83" i="10"/>
  <c r="B86" i="10"/>
  <c r="B87" i="10"/>
  <c r="B88" i="10"/>
  <c r="B89" i="10"/>
  <c r="B35" i="10"/>
  <c r="B36" i="10"/>
  <c r="B37" i="10"/>
  <c r="B38" i="10"/>
  <c r="B39" i="10"/>
  <c r="B40" i="10"/>
  <c r="B41" i="10"/>
  <c r="B42" i="10"/>
  <c r="B43" i="10"/>
  <c r="B44" i="10"/>
  <c r="B45" i="10"/>
  <c r="B29" i="10"/>
  <c r="B30" i="10"/>
  <c r="B31" i="10"/>
  <c r="B32" i="10"/>
  <c r="B33" i="10"/>
  <c r="B34" i="10"/>
  <c r="F7" i="11" l="1"/>
  <c r="B7" i="11"/>
  <c r="F6" i="11"/>
  <c r="B6" i="11"/>
  <c r="F5" i="11"/>
  <c r="B5" i="11"/>
  <c r="B33" i="5" l="1"/>
  <c r="B34" i="5"/>
  <c r="B35" i="5"/>
  <c r="B36" i="5"/>
  <c r="F32" i="5"/>
  <c r="F33" i="5"/>
  <c r="F34" i="5"/>
  <c r="F35" i="5"/>
  <c r="F36" i="5"/>
  <c r="B32" i="5"/>
  <c r="F28" i="5"/>
  <c r="F29" i="5"/>
  <c r="F30" i="5"/>
  <c r="F31" i="5"/>
  <c r="B31" i="5"/>
  <c r="B30" i="5"/>
  <c r="B29" i="5"/>
  <c r="B28" i="5"/>
  <c r="F15" i="12" l="1"/>
  <c r="B15" i="12"/>
  <c r="F14" i="12" l="1"/>
  <c r="B14" i="12"/>
  <c r="F13" i="12"/>
  <c r="B13" i="12"/>
  <c r="F16" i="5" l="1"/>
  <c r="B16" i="5"/>
  <c r="F15" i="5"/>
  <c r="B15" i="5"/>
  <c r="F14" i="5"/>
  <c r="B14" i="5"/>
  <c r="F13" i="5"/>
  <c r="B13" i="5"/>
  <c r="F12" i="12" l="1"/>
  <c r="B12" i="12"/>
  <c r="F11" i="12"/>
  <c r="B11" i="12"/>
  <c r="F10" i="12"/>
  <c r="B10" i="12"/>
  <c r="F9" i="12"/>
  <c r="B9" i="12"/>
  <c r="F8" i="12"/>
  <c r="B8" i="12"/>
  <c r="F7" i="12"/>
  <c r="B7" i="12"/>
  <c r="F6" i="12"/>
  <c r="B6" i="12"/>
  <c r="F5" i="12"/>
  <c r="B5" i="12"/>
  <c r="F27" i="8" l="1"/>
  <c r="F28" i="8"/>
  <c r="B27" i="8"/>
  <c r="B28" i="8"/>
  <c r="F16" i="8" l="1"/>
  <c r="B16" i="8"/>
  <c r="F15" i="8"/>
  <c r="B15" i="8"/>
  <c r="F14" i="8"/>
  <c r="B14" i="8"/>
  <c r="F13" i="8"/>
  <c r="B13" i="8"/>
  <c r="B28" i="10" l="1"/>
  <c r="F27" i="10"/>
  <c r="B27" i="10"/>
  <c r="F26" i="10"/>
  <c r="B26" i="10"/>
  <c r="F25" i="10"/>
  <c r="B25" i="10"/>
  <c r="F24" i="10"/>
  <c r="B24" i="10"/>
  <c r="F23" i="10"/>
  <c r="B23" i="10"/>
  <c r="F22" i="10"/>
  <c r="B22" i="10"/>
  <c r="F21" i="10"/>
  <c r="B21" i="10"/>
  <c r="F20" i="10"/>
  <c r="B20" i="10"/>
  <c r="F19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B9" i="10"/>
  <c r="F8" i="10"/>
  <c r="B8" i="10"/>
  <c r="F7" i="10"/>
  <c r="B7" i="10"/>
  <c r="F6" i="10"/>
  <c r="B6" i="10"/>
  <c r="F5" i="10"/>
  <c r="B5" i="10"/>
  <c r="F7" i="4"/>
  <c r="B7" i="4"/>
  <c r="F6" i="4"/>
  <c r="B6" i="4"/>
  <c r="F5" i="4"/>
  <c r="B5" i="4"/>
  <c r="F25" i="8"/>
  <c r="B25" i="8"/>
  <c r="F24" i="8"/>
  <c r="B24" i="8"/>
  <c r="F23" i="8"/>
  <c r="B23" i="8"/>
  <c r="F22" i="8"/>
  <c r="B22" i="8"/>
  <c r="F12" i="8"/>
  <c r="B12" i="8"/>
  <c r="F11" i="8"/>
  <c r="B11" i="8"/>
  <c r="F10" i="8"/>
  <c r="B10" i="8"/>
  <c r="F9" i="8"/>
  <c r="B9" i="8"/>
  <c r="F8" i="8"/>
  <c r="B8" i="8"/>
  <c r="F7" i="8"/>
  <c r="B7" i="8"/>
  <c r="F6" i="8"/>
  <c r="B6" i="8"/>
  <c r="F5" i="8"/>
  <c r="B5" i="8"/>
  <c r="F6" i="7"/>
  <c r="B6" i="7"/>
  <c r="F5" i="7"/>
  <c r="B5" i="7"/>
  <c r="F15" i="6"/>
  <c r="B15" i="6"/>
  <c r="F14" i="6"/>
  <c r="B14" i="6"/>
  <c r="F13" i="6"/>
  <c r="B13" i="6"/>
  <c r="F12" i="6"/>
  <c r="B12" i="6"/>
  <c r="F11" i="6"/>
  <c r="B11" i="6"/>
  <c r="F10" i="6"/>
  <c r="B10" i="6"/>
  <c r="F9" i="6"/>
  <c r="B9" i="6"/>
  <c r="F8" i="6"/>
  <c r="B8" i="6"/>
  <c r="F7" i="6"/>
  <c r="B7" i="6"/>
  <c r="F6" i="6"/>
  <c r="B6" i="6"/>
  <c r="F5" i="6"/>
  <c r="B5" i="6"/>
  <c r="F12" i="5"/>
  <c r="B12" i="5"/>
  <c r="F11" i="5"/>
  <c r="B11" i="5"/>
  <c r="F10" i="5"/>
  <c r="B10" i="5"/>
  <c r="F9" i="5"/>
  <c r="B9" i="5"/>
  <c r="F8" i="5"/>
  <c r="B8" i="5"/>
  <c r="F7" i="5"/>
  <c r="B7" i="5"/>
  <c r="F6" i="5"/>
  <c r="B6" i="5"/>
  <c r="F5" i="5"/>
  <c r="B5" i="5"/>
  <c r="B8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</calcChain>
</file>

<file path=xl/sharedStrings.xml><?xml version="1.0" encoding="utf-8"?>
<sst xmlns="http://schemas.openxmlformats.org/spreadsheetml/2006/main" count="1465" uniqueCount="546">
  <si>
    <t>desc1</t>
    <phoneticPr fontId="2" type="noConversion"/>
  </si>
  <si>
    <t>desc2</t>
    <phoneticPr fontId="2" type="noConversion"/>
  </si>
  <si>
    <t>check</t>
    <phoneticPr fontId="2" type="noConversion"/>
  </si>
  <si>
    <t>string</t>
    <phoneticPr fontId="2" type="noConversion"/>
  </si>
  <si>
    <t>#type</t>
    <phoneticPr fontId="2" type="noConversion"/>
  </si>
  <si>
    <t>int</t>
    <phoneticPr fontId="2" type="noConversion"/>
  </si>
  <si>
    <t>type_uid</t>
    <phoneticPr fontId="2" type="noConversion"/>
  </si>
  <si>
    <t>type_group</t>
    <phoneticPr fontId="2" type="noConversion"/>
  </si>
  <si>
    <t>type_value</t>
    <phoneticPr fontId="2" type="noConversion"/>
  </si>
  <si>
    <t>type_desc</t>
    <phoneticPr fontId="2" type="noConversion"/>
  </si>
  <si>
    <t>desc</t>
    <phoneticPr fontId="2" type="noConversion"/>
  </si>
  <si>
    <t>data</t>
    <phoneticPr fontId="2" type="noConversion"/>
  </si>
  <si>
    <t>type_text</t>
    <phoneticPr fontId="2" type="noConversion"/>
  </si>
  <si>
    <t>key,string</t>
    <phoneticPr fontId="2" type="noConversion"/>
  </si>
  <si>
    <t>ERROR_LEVEL</t>
    <phoneticPr fontId="2" type="noConversion"/>
  </si>
  <si>
    <t>WARN</t>
    <phoneticPr fontId="2" type="noConversion"/>
  </si>
  <si>
    <t>ERROR</t>
    <phoneticPr fontId="2" type="noConversion"/>
  </si>
  <si>
    <t>FATAL</t>
    <phoneticPr fontId="2" type="noConversion"/>
  </si>
  <si>
    <t>에러 레벨</t>
    <phoneticPr fontId="2" type="noConversion"/>
  </si>
  <si>
    <t>경고</t>
    <phoneticPr fontId="2" type="noConversion"/>
  </si>
  <si>
    <t>에러</t>
    <phoneticPr fontId="2" type="noConversion"/>
  </si>
  <si>
    <t>치명적 에러</t>
    <phoneticPr fontId="2" type="noConversion"/>
  </si>
  <si>
    <t>ERROR_ACTION</t>
    <phoneticPr fontId="2" type="noConversion"/>
  </si>
  <si>
    <t>NONE</t>
    <phoneticPr fontId="2" type="noConversion"/>
  </si>
  <si>
    <t>NOTICE</t>
    <phoneticPr fontId="2" type="noConversion"/>
  </si>
  <si>
    <t>LOGOUT</t>
    <phoneticPr fontId="2" type="noConversion"/>
  </si>
  <si>
    <t>에러 발생 시 대응</t>
    <phoneticPr fontId="2" type="noConversion"/>
  </si>
  <si>
    <t>없음</t>
    <phoneticPr fontId="2" type="noConversion"/>
  </si>
  <si>
    <t>경고 메시지 출력</t>
    <phoneticPr fontId="2" type="noConversion"/>
  </si>
  <si>
    <t>로그 아웃</t>
    <phoneticPr fontId="2" type="noConversion"/>
  </si>
  <si>
    <t>TOAST</t>
    <phoneticPr fontId="2" type="noConversion"/>
  </si>
  <si>
    <t>토스트 메시지 출력</t>
    <phoneticPr fontId="2" type="noConversion"/>
  </si>
  <si>
    <t>에러 발생 시 대응</t>
  </si>
  <si>
    <t>SYNC</t>
    <phoneticPr fontId="2" type="noConversion"/>
  </si>
  <si>
    <t>sync 요청</t>
    <phoneticPr fontId="2" type="noConversion"/>
  </si>
  <si>
    <t>VERSION_CHECK</t>
    <phoneticPr fontId="2" type="noConversion"/>
  </si>
  <si>
    <t>DEL_CACHE</t>
    <phoneticPr fontId="2" type="noConversion"/>
  </si>
  <si>
    <t>VERSION_CHECK_OPTIONAL</t>
    <phoneticPr fontId="2" type="noConversion"/>
  </si>
  <si>
    <t>버전 에러, 마켓 업데이트로 이동</t>
    <phoneticPr fontId="2" type="noConversion"/>
  </si>
  <si>
    <t>버전 에러, 마켓 업데이트로 이동(옵셔널)</t>
    <phoneticPr fontId="2" type="noConversion"/>
  </si>
  <si>
    <t>클라이언트 캐쉬 삭제</t>
    <phoneticPr fontId="2" type="noConversion"/>
  </si>
  <si>
    <t>None</t>
    <phoneticPr fontId="2" type="noConversion"/>
  </si>
  <si>
    <t>Heart</t>
    <phoneticPr fontId="2" type="noConversion"/>
  </si>
  <si>
    <t>HapticType</t>
    <phoneticPr fontId="2" type="noConversion"/>
  </si>
  <si>
    <t>Constant</t>
    <phoneticPr fontId="2" type="noConversion"/>
  </si>
  <si>
    <t>Preset_Selection</t>
    <phoneticPr fontId="2" type="noConversion"/>
  </si>
  <si>
    <t>Preset_Success</t>
    <phoneticPr fontId="2" type="noConversion"/>
  </si>
  <si>
    <t>Preset_Warning</t>
    <phoneticPr fontId="2" type="noConversion"/>
  </si>
  <si>
    <t>Preset_Failure</t>
    <phoneticPr fontId="2" type="noConversion"/>
  </si>
  <si>
    <t>Preset_LightImpact</t>
    <phoneticPr fontId="2" type="noConversion"/>
  </si>
  <si>
    <t>Preset_MediumImpact</t>
    <phoneticPr fontId="2" type="noConversion"/>
  </si>
  <si>
    <t>Preset_HeavyImpact</t>
    <phoneticPr fontId="2" type="noConversion"/>
  </si>
  <si>
    <t>Preset_RigidImpact</t>
    <phoneticPr fontId="2" type="noConversion"/>
  </si>
  <si>
    <t>Preset_SoftImpact</t>
    <phoneticPr fontId="2" type="noConversion"/>
  </si>
  <si>
    <t>Haptic_Clip</t>
    <phoneticPr fontId="2" type="noConversion"/>
  </si>
  <si>
    <t>아이템 타입</t>
    <phoneticPr fontId="2" type="noConversion"/>
  </si>
  <si>
    <t>진동 타입</t>
    <phoneticPr fontId="2" type="noConversion"/>
  </si>
  <si>
    <t>UnitType</t>
    <phoneticPr fontId="2" type="noConversion"/>
  </si>
  <si>
    <t>유닛타입</t>
    <phoneticPr fontId="2" type="noConversion"/>
  </si>
  <si>
    <t>Armored</t>
    <phoneticPr fontId="2" type="noConversion"/>
  </si>
  <si>
    <t>Elite</t>
    <phoneticPr fontId="2" type="noConversion"/>
  </si>
  <si>
    <t>투구</t>
    <phoneticPr fontId="2" type="noConversion"/>
  </si>
  <si>
    <t>보스</t>
    <phoneticPr fontId="2" type="noConversion"/>
  </si>
  <si>
    <t>Coin</t>
    <phoneticPr fontId="2" type="noConversion"/>
  </si>
  <si>
    <t>코인</t>
    <phoneticPr fontId="2" type="noConversion"/>
  </si>
  <si>
    <t>ADS_TYPE</t>
    <phoneticPr fontId="2" type="noConversion"/>
  </si>
  <si>
    <t>Attendance_MoreRewards</t>
    <phoneticPr fontId="2" type="noConversion"/>
  </si>
  <si>
    <t>광고타입</t>
    <phoneticPr fontId="2" type="noConversion"/>
  </si>
  <si>
    <t>Default_RewardedVideo</t>
    <phoneticPr fontId="2" type="noConversion"/>
  </si>
  <si>
    <t>기본 보상형광고</t>
    <phoneticPr fontId="2" type="noConversion"/>
  </si>
  <si>
    <t>기본 전면광고</t>
    <phoneticPr fontId="2" type="noConversion"/>
  </si>
  <si>
    <t>기본 배너광고</t>
    <phoneticPr fontId="2" type="noConversion"/>
  </si>
  <si>
    <t>출석 추가 보상</t>
    <phoneticPr fontId="2" type="noConversion"/>
  </si>
  <si>
    <t>Default_Interstitial</t>
    <phoneticPr fontId="2" type="noConversion"/>
  </si>
  <si>
    <t>Default_Banner</t>
    <phoneticPr fontId="2" type="noConversion"/>
  </si>
  <si>
    <t>InGame_StageClear</t>
    <phoneticPr fontId="2" type="noConversion"/>
  </si>
  <si>
    <t>RewardedVideo</t>
    <phoneticPr fontId="2" type="noConversion"/>
  </si>
  <si>
    <t>보상형 광고</t>
    <phoneticPr fontId="2" type="noConversion"/>
  </si>
  <si>
    <t>Interstitial</t>
    <phoneticPr fontId="2" type="noConversion"/>
  </si>
  <si>
    <t>전면 광고</t>
    <phoneticPr fontId="2" type="noConversion"/>
  </si>
  <si>
    <t>Banner</t>
    <phoneticPr fontId="2" type="noConversion"/>
  </si>
  <si>
    <t>배너 광고</t>
    <phoneticPr fontId="2" type="noConversion"/>
  </si>
  <si>
    <t>AD_FORMAT</t>
    <phoneticPr fontId="2" type="noConversion"/>
  </si>
  <si>
    <t>광고종류</t>
    <phoneticPr fontId="2" type="noConversion"/>
  </si>
  <si>
    <t>Boss</t>
    <phoneticPr fontId="2" type="noConversion"/>
  </si>
  <si>
    <t>엘리트</t>
    <phoneticPr fontId="2" type="noConversion"/>
  </si>
  <si>
    <t>CONDITIONCHECKER_TYPE</t>
    <phoneticPr fontId="2" type="noConversion"/>
  </si>
  <si>
    <t>컨디션 체커</t>
    <phoneticPr fontId="2" type="noConversion"/>
  </si>
  <si>
    <t>전면 광고 조건 체크</t>
    <phoneticPr fontId="2" type="noConversion"/>
  </si>
  <si>
    <t>ClearStage</t>
    <phoneticPr fontId="2" type="noConversion"/>
  </si>
  <si>
    <t>GetAttendanceRewardDay</t>
    <phoneticPr fontId="2" type="noConversion"/>
  </si>
  <si>
    <t>CanPlayInterstitialAd</t>
    <phoneticPr fontId="2" type="noConversion"/>
  </si>
  <si>
    <t>출석 보상 획득 체크</t>
    <phoneticPr fontId="2" type="noConversion"/>
  </si>
  <si>
    <t>스테이지 클리어 체크</t>
    <phoneticPr fontId="2" type="noConversion"/>
  </si>
  <si>
    <t>Vehicle</t>
    <phoneticPr fontId="2" type="noConversion"/>
  </si>
  <si>
    <t>탈것</t>
    <phoneticPr fontId="2" type="noConversion"/>
  </si>
  <si>
    <t>Bonus</t>
    <phoneticPr fontId="2" type="noConversion"/>
  </si>
  <si>
    <t>보너스</t>
    <phoneticPr fontId="2" type="noConversion"/>
  </si>
  <si>
    <t>스테이지타입</t>
    <phoneticPr fontId="2" type="noConversion"/>
  </si>
  <si>
    <t>일반</t>
    <phoneticPr fontId="2" type="noConversion"/>
  </si>
  <si>
    <t>Normal</t>
    <phoneticPr fontId="2" type="noConversion"/>
  </si>
  <si>
    <t>랭킹</t>
    <phoneticPr fontId="2" type="noConversion"/>
  </si>
  <si>
    <t>스테이지보상</t>
    <phoneticPr fontId="2" type="noConversion"/>
  </si>
  <si>
    <t>아이템1</t>
    <phoneticPr fontId="2" type="noConversion"/>
  </si>
  <si>
    <t>아이템2</t>
    <phoneticPr fontId="2" type="noConversion"/>
  </si>
  <si>
    <t>아이템3</t>
    <phoneticPr fontId="2" type="noConversion"/>
  </si>
  <si>
    <t>랭킹모드 게임시간증가</t>
    <phoneticPr fontId="2" type="noConversion"/>
  </si>
  <si>
    <t>Item_1</t>
    <phoneticPr fontId="2" type="noConversion"/>
  </si>
  <si>
    <t>Item_2</t>
    <phoneticPr fontId="2" type="noConversion"/>
  </si>
  <si>
    <t>Item_3</t>
    <phoneticPr fontId="2" type="noConversion"/>
  </si>
  <si>
    <t>Time_Inc</t>
    <phoneticPr fontId="2" type="noConversion"/>
  </si>
  <si>
    <t>LOCALPUSH_TYPE</t>
  </si>
  <si>
    <t>Attendance_Next_Day</t>
  </si>
  <si>
    <t>푸시 타입</t>
    <phoneticPr fontId="2" type="noConversion"/>
  </si>
  <si>
    <t>출석부 다음날</t>
    <phoneticPr fontId="2" type="noConversion"/>
  </si>
  <si>
    <t>Heart_Max</t>
  </si>
  <si>
    <t>하트 맥스</t>
    <phoneticPr fontId="2" type="noConversion"/>
  </si>
  <si>
    <t>타워 생존</t>
    <phoneticPr fontId="2" type="noConversion"/>
  </si>
  <si>
    <t>랭크스코어타입</t>
    <phoneticPr fontId="2" type="noConversion"/>
  </si>
  <si>
    <t>Castle_Bonus</t>
    <phoneticPr fontId="2" type="noConversion"/>
  </si>
  <si>
    <t>즙몬스터 생존</t>
    <phoneticPr fontId="2" type="noConversion"/>
  </si>
  <si>
    <t>Monster_Bonus</t>
    <phoneticPr fontId="2" type="noConversion"/>
  </si>
  <si>
    <t>보스 처치</t>
  </si>
  <si>
    <t>랭크스코어타입</t>
  </si>
  <si>
    <t>Boss_Kill</t>
    <phoneticPr fontId="2" type="noConversion"/>
  </si>
  <si>
    <t>엘리트 처치</t>
  </si>
  <si>
    <t>Elite_Kill</t>
    <phoneticPr fontId="2" type="noConversion"/>
  </si>
  <si>
    <t>일반적 처치</t>
  </si>
  <si>
    <t>Normal_Kill</t>
    <phoneticPr fontId="2" type="noConversion"/>
  </si>
  <si>
    <t>Rank</t>
    <phoneticPr fontId="2" type="noConversion"/>
  </si>
  <si>
    <t>Rank_Score_Type</t>
    <phoneticPr fontId="2" type="noConversion"/>
  </si>
  <si>
    <t>Stage_Type</t>
    <phoneticPr fontId="2" type="noConversion"/>
  </si>
  <si>
    <t>Stage_Reward_Type</t>
    <phoneticPr fontId="2" type="noConversion"/>
  </si>
  <si>
    <t>Event_Trigger_Type</t>
    <phoneticPr fontId="2" type="noConversion"/>
  </si>
  <si>
    <t>이벤트트리거타입</t>
    <phoneticPr fontId="2" type="noConversion"/>
  </si>
  <si>
    <t>스테이지입장</t>
    <phoneticPr fontId="2" type="noConversion"/>
  </si>
  <si>
    <t>스테이지종료</t>
    <phoneticPr fontId="2" type="noConversion"/>
  </si>
  <si>
    <t>스테이지시작</t>
    <phoneticPr fontId="2" type="noConversion"/>
  </si>
  <si>
    <t>Action_Type</t>
    <phoneticPr fontId="2" type="noConversion"/>
  </si>
  <si>
    <t>액션타입</t>
    <phoneticPr fontId="2" type="noConversion"/>
  </si>
  <si>
    <t>액션차입</t>
    <phoneticPr fontId="2" type="noConversion"/>
  </si>
  <si>
    <t>튜토리얼시작</t>
    <phoneticPr fontId="2" type="noConversion"/>
  </si>
  <si>
    <t>Start_Tutorial</t>
    <phoneticPr fontId="2" type="noConversion"/>
  </si>
  <si>
    <t>Enter_Stage</t>
    <phoneticPr fontId="2" type="noConversion"/>
  </si>
  <si>
    <t>Start_Stage</t>
    <phoneticPr fontId="2" type="noConversion"/>
  </si>
  <si>
    <t>End_Stage</t>
    <phoneticPr fontId="2" type="noConversion"/>
  </si>
  <si>
    <t>Enter_Lobby</t>
    <phoneticPr fontId="2" type="noConversion"/>
  </si>
  <si>
    <t>IsClearStage</t>
  </si>
  <si>
    <t>스테이지 클리어 했는지</t>
    <phoneticPr fontId="2" type="noConversion"/>
  </si>
  <si>
    <t>Difficulty_Type</t>
    <phoneticPr fontId="2" type="noConversion"/>
  </si>
  <si>
    <t>Hard</t>
    <phoneticPr fontId="2" type="noConversion"/>
  </si>
  <si>
    <t>Very_Hard</t>
    <phoneticPr fontId="2" type="noConversion"/>
  </si>
  <si>
    <t>스테이지 난이도</t>
    <phoneticPr fontId="2" type="noConversion"/>
  </si>
  <si>
    <t>StarGate</t>
    <phoneticPr fontId="2" type="noConversion"/>
  </si>
  <si>
    <t>Gate_Type</t>
    <phoneticPr fontId="2" type="noConversion"/>
  </si>
  <si>
    <t>Door</t>
    <phoneticPr fontId="2" type="noConversion"/>
  </si>
  <si>
    <t>게이트 타입</t>
    <phoneticPr fontId="2" type="noConversion"/>
  </si>
  <si>
    <t>Block_Type</t>
    <phoneticPr fontId="2" type="noConversion"/>
  </si>
  <si>
    <t>ADS_TYPE</t>
    <phoneticPr fontId="2" type="noConversion"/>
  </si>
  <si>
    <t>PlayTime</t>
    <phoneticPr fontId="2" type="noConversion"/>
  </si>
  <si>
    <t>광고타입</t>
    <phoneticPr fontId="2" type="noConversion"/>
  </si>
  <si>
    <t>Lobby_Heart</t>
    <phoneticPr fontId="2" type="noConversion"/>
  </si>
  <si>
    <t>로비 하트 광고</t>
    <phoneticPr fontId="2" type="noConversion"/>
  </si>
  <si>
    <t>InGame_ExtraReward</t>
    <phoneticPr fontId="2" type="noConversion"/>
  </si>
  <si>
    <t>인게임 추가보상</t>
    <phoneticPr fontId="2" type="noConversion"/>
  </si>
  <si>
    <t>AND</t>
    <phoneticPr fontId="2" type="noConversion"/>
  </si>
  <si>
    <t>OR</t>
    <phoneticPr fontId="2" type="noConversion"/>
  </si>
  <si>
    <t>MULTIPLECONDITION_TYPE</t>
    <phoneticPr fontId="2" type="noConversion"/>
  </si>
  <si>
    <t>복합 컨디션</t>
    <phoneticPr fontId="2" type="noConversion"/>
  </si>
  <si>
    <t>Block_GimmickType</t>
  </si>
  <si>
    <t>블럭 기믹 타입</t>
  </si>
  <si>
    <t>1x1_Square</t>
    <phoneticPr fontId="2" type="noConversion"/>
  </si>
  <si>
    <t>1x3_Square</t>
    <phoneticPr fontId="2" type="noConversion"/>
  </si>
  <si>
    <t>1x2_Square</t>
    <phoneticPr fontId="2" type="noConversion"/>
  </si>
  <si>
    <t>2x2_Square</t>
    <phoneticPr fontId="2" type="noConversion"/>
  </si>
  <si>
    <t>2x2_Corner</t>
    <phoneticPr fontId="2" type="noConversion"/>
  </si>
  <si>
    <t>2x3_Corner</t>
    <phoneticPr fontId="2" type="noConversion"/>
  </si>
  <si>
    <t>2x3_Cross</t>
    <phoneticPr fontId="2" type="noConversion"/>
  </si>
  <si>
    <t>3x3_Cross</t>
    <phoneticPr fontId="2" type="noConversion"/>
  </si>
  <si>
    <t>블럭 타입</t>
    <phoneticPr fontId="2" type="noConversion"/>
  </si>
  <si>
    <t>Square_1x1</t>
    <phoneticPr fontId="2" type="noConversion"/>
  </si>
  <si>
    <t>Square_1x2</t>
    <phoneticPr fontId="2" type="noConversion"/>
  </si>
  <si>
    <t>Square_1x3</t>
    <phoneticPr fontId="2" type="noConversion"/>
  </si>
  <si>
    <t>Square_2x2</t>
    <phoneticPr fontId="2" type="noConversion"/>
  </si>
  <si>
    <t>Corner_2x2</t>
    <phoneticPr fontId="2" type="noConversion"/>
  </si>
  <si>
    <t>Cross_3x3</t>
    <phoneticPr fontId="2" type="noConversion"/>
  </si>
  <si>
    <t>Cross_2x3</t>
    <phoneticPr fontId="2" type="noConversion"/>
  </si>
  <si>
    <t>Corner_2x3</t>
    <phoneticPr fontId="2" type="noConversion"/>
  </si>
  <si>
    <t>Tile_Type</t>
    <phoneticPr fontId="2" type="noConversion"/>
  </si>
  <si>
    <t>Colorful</t>
    <phoneticPr fontId="2" type="noConversion"/>
  </si>
  <si>
    <t>타일 타입</t>
    <phoneticPr fontId="2" type="noConversion"/>
  </si>
  <si>
    <t>Wall_Type</t>
    <phoneticPr fontId="2" type="noConversion"/>
  </si>
  <si>
    <t>Wall</t>
    <phoneticPr fontId="2" type="noConversion"/>
  </si>
  <si>
    <t>Corner</t>
    <phoneticPr fontId="2" type="noConversion"/>
  </si>
  <si>
    <t>벽 타입</t>
    <phoneticPr fontId="2" type="noConversion"/>
  </si>
  <si>
    <t>Block_Color</t>
    <phoneticPr fontId="2" type="noConversion"/>
  </si>
  <si>
    <t>R</t>
    <phoneticPr fontId="2" type="noConversion"/>
  </si>
  <si>
    <t>G</t>
    <phoneticPr fontId="2" type="noConversion"/>
  </si>
  <si>
    <t>LG</t>
    <phoneticPr fontId="2" type="noConversion"/>
  </si>
  <si>
    <t>B</t>
    <phoneticPr fontId="2" type="noConversion"/>
  </si>
  <si>
    <t>P</t>
    <phoneticPr fontId="2" type="noConversion"/>
  </si>
  <si>
    <t>RP</t>
    <phoneticPr fontId="2" type="noConversion"/>
  </si>
  <si>
    <t>Y</t>
    <phoneticPr fontId="2" type="noConversion"/>
  </si>
  <si>
    <t>LB</t>
    <phoneticPr fontId="2" type="noConversion"/>
  </si>
  <si>
    <t>O</t>
    <phoneticPr fontId="2" type="noConversion"/>
  </si>
  <si>
    <t>BG</t>
    <phoneticPr fontId="2" type="noConversion"/>
  </si>
  <si>
    <t>블럭 색상</t>
    <phoneticPr fontId="2" type="noConversion"/>
  </si>
  <si>
    <t>빨강</t>
    <phoneticPr fontId="2" type="noConversion"/>
  </si>
  <si>
    <t>녹색</t>
    <phoneticPr fontId="2" type="noConversion"/>
  </si>
  <si>
    <t>연두</t>
    <phoneticPr fontId="2" type="noConversion"/>
  </si>
  <si>
    <t>파랑</t>
    <phoneticPr fontId="2" type="noConversion"/>
  </si>
  <si>
    <t>핑크</t>
    <phoneticPr fontId="2" type="noConversion"/>
  </si>
  <si>
    <t>보라</t>
    <phoneticPr fontId="2" type="noConversion"/>
  </si>
  <si>
    <t>노랑</t>
    <phoneticPr fontId="2" type="noConversion"/>
  </si>
  <si>
    <t>하늘</t>
    <phoneticPr fontId="2" type="noConversion"/>
  </si>
  <si>
    <t>주황</t>
    <phoneticPr fontId="2" type="noConversion"/>
  </si>
  <si>
    <t>청록색</t>
    <phoneticPr fontId="2" type="noConversion"/>
  </si>
  <si>
    <t>PURCHASE_TYPE</t>
    <phoneticPr fontId="2" type="noConversion"/>
  </si>
  <si>
    <t>BUNDLE_TYPE</t>
    <phoneticPr fontId="2" type="noConversion"/>
  </si>
  <si>
    <t>Cash</t>
    <phoneticPr fontId="2" type="noConversion"/>
  </si>
  <si>
    <t>Free</t>
    <phoneticPr fontId="2" type="noConversion"/>
  </si>
  <si>
    <t>Common</t>
    <phoneticPr fontId="2" type="noConversion"/>
  </si>
  <si>
    <t>InGameShop</t>
    <phoneticPr fontId="2" type="noConversion"/>
  </si>
  <si>
    <t>상품 구매 형태</t>
    <phoneticPr fontId="2" type="noConversion"/>
  </si>
  <si>
    <t>캐쉬</t>
    <phoneticPr fontId="2" type="noConversion"/>
  </si>
  <si>
    <t>광고 시청 후 제공</t>
    <phoneticPr fontId="2" type="noConversion"/>
  </si>
  <si>
    <t>무료 제공</t>
    <phoneticPr fontId="2" type="noConversion"/>
  </si>
  <si>
    <t>패키지 타입</t>
    <phoneticPr fontId="2" type="noConversion"/>
  </si>
  <si>
    <t>광고 제거 타입</t>
    <phoneticPr fontId="2" type="noConversion"/>
  </si>
  <si>
    <t>일반 타입</t>
    <phoneticPr fontId="2" type="noConversion"/>
  </si>
  <si>
    <t>인게임 상점 타입</t>
    <phoneticPr fontId="2" type="noConversion"/>
  </si>
  <si>
    <t>FreezeTimer</t>
    <phoneticPr fontId="2" type="noConversion"/>
  </si>
  <si>
    <t>Hammer</t>
    <phoneticPr fontId="2" type="noConversion"/>
  </si>
  <si>
    <t>ColorVacuum</t>
    <phoneticPr fontId="2" type="noConversion"/>
  </si>
  <si>
    <t>Rocket</t>
    <phoneticPr fontId="2" type="noConversion"/>
  </si>
  <si>
    <t>NoAds</t>
  </si>
  <si>
    <t>NoAds</t>
    <phoneticPr fontId="2" type="noConversion"/>
  </si>
  <si>
    <t>AdditionalTime</t>
    <phoneticPr fontId="2" type="noConversion"/>
  </si>
  <si>
    <t>ReverseGate</t>
  </si>
  <si>
    <t>ReverseGate</t>
    <phoneticPr fontId="2" type="noConversion"/>
  </si>
  <si>
    <t>AdditionalBombTime</t>
  </si>
  <si>
    <t>AdditionalBombTime</t>
    <phoneticPr fontId="2" type="noConversion"/>
  </si>
  <si>
    <t>AdsFree</t>
    <phoneticPr fontId="2" type="noConversion"/>
  </si>
  <si>
    <t>PACKAGE_BG_TYPE</t>
    <phoneticPr fontId="2" type="noConversion"/>
  </si>
  <si>
    <t>패키지 배경</t>
    <phoneticPr fontId="2" type="noConversion"/>
  </si>
  <si>
    <t>광고 제거 포함</t>
    <phoneticPr fontId="2" type="noConversion"/>
  </si>
  <si>
    <t>Common_1</t>
    <phoneticPr fontId="2" type="noConversion"/>
  </si>
  <si>
    <t>일반 패키지 1</t>
    <phoneticPr fontId="2" type="noConversion"/>
  </si>
  <si>
    <t>InfiniteHeart</t>
    <phoneticPr fontId="2" type="noConversion"/>
  </si>
  <si>
    <t>Item_Type</t>
    <phoneticPr fontId="2" type="noConversion"/>
  </si>
  <si>
    <t>Normal</t>
  </si>
  <si>
    <t>Arrow</t>
  </si>
  <si>
    <t>Layer</t>
  </si>
  <si>
    <t>Ice</t>
  </si>
  <si>
    <t>Star</t>
  </si>
  <si>
    <t>Chain</t>
  </si>
  <si>
    <t>Key</t>
  </si>
  <si>
    <t>Combine</t>
  </si>
  <si>
    <t>Bomb</t>
  </si>
  <si>
    <t>Ropes</t>
  </si>
  <si>
    <t>Scissors</t>
  </si>
  <si>
    <t>Item_GetType</t>
    <phoneticPr fontId="2" type="noConversion"/>
  </si>
  <si>
    <t>None</t>
    <phoneticPr fontId="2" type="noConversion"/>
  </si>
  <si>
    <t>아이템 획득 방법</t>
    <phoneticPr fontId="2" type="noConversion"/>
  </si>
  <si>
    <t>Default</t>
    <phoneticPr fontId="2" type="noConversion"/>
  </si>
  <si>
    <t>Price</t>
    <phoneticPr fontId="2" type="noConversion"/>
  </si>
  <si>
    <t>AdsFree</t>
    <phoneticPr fontId="2" type="noConversion"/>
  </si>
  <si>
    <t>Default(초기 사용자 계정에 지급된 상태)</t>
    <phoneticPr fontId="2" type="noConversion"/>
  </si>
  <si>
    <t>Price(Item_Price 지급)</t>
    <phoneticPr fontId="2" type="noConversion"/>
  </si>
  <si>
    <t>Item_Category</t>
    <phoneticPr fontId="2" type="noConversion"/>
  </si>
  <si>
    <t>Currency</t>
    <phoneticPr fontId="2" type="noConversion"/>
  </si>
  <si>
    <t>Consumable</t>
    <phoneticPr fontId="2" type="noConversion"/>
  </si>
  <si>
    <t>Buff</t>
    <phoneticPr fontId="2" type="noConversion"/>
  </si>
  <si>
    <t>Continue</t>
    <phoneticPr fontId="2" type="noConversion"/>
  </si>
  <si>
    <t>아이템 카테고리</t>
    <phoneticPr fontId="2" type="noConversion"/>
  </si>
  <si>
    <t>재화</t>
    <phoneticPr fontId="2" type="noConversion"/>
  </si>
  <si>
    <t>소비성 아이템</t>
    <phoneticPr fontId="2" type="noConversion"/>
  </si>
  <si>
    <t>버프</t>
    <phoneticPr fontId="2" type="noConversion"/>
  </si>
  <si>
    <t>이어 하기 아이템</t>
    <phoneticPr fontId="2" type="noConversion"/>
  </si>
  <si>
    <t>Green</t>
    <phoneticPr fontId="2" type="noConversion"/>
  </si>
  <si>
    <t>Red</t>
    <phoneticPr fontId="2" type="noConversion"/>
  </si>
  <si>
    <t>Purple</t>
    <phoneticPr fontId="2" type="noConversion"/>
  </si>
  <si>
    <t>Lobby_StageBlock_Type</t>
    <phoneticPr fontId="2" type="noConversion"/>
  </si>
  <si>
    <t>로비 스테이지 블록</t>
    <phoneticPr fontId="2" type="noConversion"/>
  </si>
  <si>
    <t>TILE_ROTATION_TYPE</t>
  </si>
  <si>
    <t>NONE</t>
  </si>
  <si>
    <t>타일 회전</t>
    <phoneticPr fontId="2" type="noConversion"/>
  </si>
  <si>
    <t>BlockPass</t>
    <phoneticPr fontId="2" type="noConversion"/>
  </si>
  <si>
    <t>블록 패스</t>
    <phoneticPr fontId="2" type="noConversion"/>
  </si>
  <si>
    <t>EVENT_TYPE</t>
    <phoneticPr fontId="2" type="noConversion"/>
  </si>
  <si>
    <t>이벤트 타입</t>
    <phoneticPr fontId="2" type="noConversion"/>
  </si>
  <si>
    <t>DEGREE_90</t>
    <phoneticPr fontId="2" type="noConversion"/>
  </si>
  <si>
    <t>DEGREE_180</t>
    <phoneticPr fontId="2" type="noConversion"/>
  </si>
  <si>
    <t>DEGREE_270</t>
    <phoneticPr fontId="2" type="noConversion"/>
  </si>
  <si>
    <t>TILE_MAP_DIRECTION</t>
  </si>
  <si>
    <t>LT</t>
  </si>
  <si>
    <t>T</t>
    <phoneticPr fontId="2" type="noConversion"/>
  </si>
  <si>
    <t>RT</t>
    <phoneticPr fontId="2" type="noConversion"/>
  </si>
  <si>
    <t>LC</t>
    <phoneticPr fontId="2" type="noConversion"/>
  </si>
  <si>
    <t>C</t>
    <phoneticPr fontId="2" type="noConversion"/>
  </si>
  <si>
    <t>RC</t>
    <phoneticPr fontId="2" type="noConversion"/>
  </si>
  <si>
    <t>LB</t>
    <phoneticPr fontId="2" type="noConversion"/>
  </si>
  <si>
    <t>B</t>
    <phoneticPr fontId="2" type="noConversion"/>
  </si>
  <si>
    <t>RB</t>
    <phoneticPr fontId="2" type="noConversion"/>
  </si>
  <si>
    <t>맵툴 사용</t>
    <phoneticPr fontId="2" type="noConversion"/>
  </si>
  <si>
    <t>LT</t>
    <phoneticPr fontId="2" type="noConversion"/>
  </si>
  <si>
    <t>Corner_2x3_R</t>
    <phoneticPr fontId="2" type="noConversion"/>
  </si>
  <si>
    <t>2x3_Corner_R</t>
    <phoneticPr fontId="2" type="noConversion"/>
  </si>
  <si>
    <t>Block_GimmickType</t>
    <phoneticPr fontId="2" type="noConversion"/>
  </si>
  <si>
    <t>Gate_GimmickType</t>
    <phoneticPr fontId="2" type="noConversion"/>
  </si>
  <si>
    <t>Star</t>
    <phoneticPr fontId="2" type="noConversion"/>
  </si>
  <si>
    <t>Tile_GimmickType</t>
    <phoneticPr fontId="2" type="noConversion"/>
  </si>
  <si>
    <t>게이트 기믹 타입</t>
    <phoneticPr fontId="2" type="noConversion"/>
  </si>
  <si>
    <t>타일 기믹 타입</t>
    <phoneticPr fontId="2" type="noConversion"/>
  </si>
  <si>
    <t>WallOut</t>
    <phoneticPr fontId="2" type="noConversion"/>
  </si>
  <si>
    <t>Store_GetFreeCoin</t>
    <phoneticPr fontId="2" type="noConversion"/>
  </si>
  <si>
    <t>상점 코인 무료 보상</t>
    <phoneticPr fontId="2" type="noConversion"/>
  </si>
  <si>
    <t>Gimmick_Unlock_Info_Type</t>
    <phoneticPr fontId="2" type="noConversion"/>
  </si>
  <si>
    <t>ArrowBlock</t>
    <phoneticPr fontId="2" type="noConversion"/>
  </si>
  <si>
    <t>LayerBlock</t>
    <phoneticPr fontId="2" type="noConversion"/>
  </si>
  <si>
    <t>IceBlock</t>
    <phoneticPr fontId="2" type="noConversion"/>
  </si>
  <si>
    <t>StarBlock</t>
    <phoneticPr fontId="2" type="noConversion"/>
  </si>
  <si>
    <t>ChainBlock</t>
    <phoneticPr fontId="2" type="noConversion"/>
  </si>
  <si>
    <t>KeyBlock</t>
    <phoneticPr fontId="2" type="noConversion"/>
  </si>
  <si>
    <t>CombinedBlock</t>
    <phoneticPr fontId="2" type="noConversion"/>
  </si>
  <si>
    <t>BombBlock</t>
    <phoneticPr fontId="2" type="noConversion"/>
  </si>
  <si>
    <t>RopesBlock</t>
    <phoneticPr fontId="2" type="noConversion"/>
  </si>
  <si>
    <t>ScissorsBlock</t>
    <phoneticPr fontId="2" type="noConversion"/>
  </si>
  <si>
    <t>ColorfulPath</t>
    <phoneticPr fontId="2" type="noConversion"/>
  </si>
  <si>
    <t>기믹 언락 안내</t>
    <phoneticPr fontId="2" type="noConversion"/>
  </si>
  <si>
    <t>Arrow_Block</t>
    <phoneticPr fontId="2" type="noConversion"/>
  </si>
  <si>
    <t>Layer_Block</t>
    <phoneticPr fontId="2" type="noConversion"/>
  </si>
  <si>
    <t>Ice_Block</t>
    <phoneticPr fontId="2" type="noConversion"/>
  </si>
  <si>
    <t>Star_Block</t>
    <phoneticPr fontId="2" type="noConversion"/>
  </si>
  <si>
    <t>Star_Gate</t>
    <phoneticPr fontId="2" type="noConversion"/>
  </si>
  <si>
    <t>Chain_Block</t>
    <phoneticPr fontId="2" type="noConversion"/>
  </si>
  <si>
    <t>Key_Block</t>
    <phoneticPr fontId="2" type="noConversion"/>
  </si>
  <si>
    <t>Combined_Block</t>
    <phoneticPr fontId="2" type="noConversion"/>
  </si>
  <si>
    <t>Bomb_Block</t>
    <phoneticPr fontId="2" type="noConversion"/>
  </si>
  <si>
    <t>Ropes_Block</t>
    <phoneticPr fontId="2" type="noConversion"/>
  </si>
  <si>
    <t>Scissors_Block</t>
    <phoneticPr fontId="2" type="noConversion"/>
  </si>
  <si>
    <t>Colorful_Path</t>
    <phoneticPr fontId="2" type="noConversion"/>
  </si>
  <si>
    <t>Tile</t>
    <phoneticPr fontId="2" type="noConversion"/>
  </si>
  <si>
    <t>Block</t>
    <phoneticPr fontId="2" type="noConversion"/>
  </si>
  <si>
    <t>Gate</t>
    <phoneticPr fontId="2" type="noConversion"/>
  </si>
  <si>
    <t>None</t>
    <phoneticPr fontId="2" type="noConversion"/>
  </si>
  <si>
    <t>기믹 카테고리</t>
    <phoneticPr fontId="2" type="noConversion"/>
  </si>
  <si>
    <t>타일</t>
    <phoneticPr fontId="2" type="noConversion"/>
  </si>
  <si>
    <t>블록</t>
    <phoneticPr fontId="2" type="noConversion"/>
  </si>
  <si>
    <t>게이트</t>
    <phoneticPr fontId="2" type="noConversion"/>
  </si>
  <si>
    <t>Gimmick_Unlock_Info_Category</t>
    <phoneticPr fontId="2" type="noConversion"/>
  </si>
  <si>
    <t>EnterStage</t>
    <phoneticPr fontId="2" type="noConversion"/>
  </si>
  <si>
    <t>스테이지 입장</t>
    <phoneticPr fontId="2" type="noConversion"/>
  </si>
  <si>
    <t>ADS_GROUP_TYPE</t>
    <phoneticPr fontId="2" type="noConversion"/>
  </si>
  <si>
    <t>None</t>
    <phoneticPr fontId="2" type="noConversion"/>
  </si>
  <si>
    <t>INGAME_STAGECLEAR_AND_PLAYTIME</t>
  </si>
  <si>
    <t>광고 그룹 타입</t>
    <phoneticPr fontId="2" type="noConversion"/>
  </si>
  <si>
    <t>Common_2</t>
    <phoneticPr fontId="2" type="noConversion"/>
  </si>
  <si>
    <t>일반 패키지 2</t>
    <phoneticPr fontId="2" type="noConversion"/>
  </si>
  <si>
    <t>Common_3</t>
    <phoneticPr fontId="2" type="noConversion"/>
  </si>
  <si>
    <t>일반 패키지 3</t>
    <phoneticPr fontId="2" type="noConversion"/>
  </si>
  <si>
    <t>SpecialOffer</t>
    <phoneticPr fontId="2" type="noConversion"/>
  </si>
  <si>
    <t>스페셜 오퍼 타입</t>
    <phoneticPr fontId="2" type="noConversion"/>
  </si>
  <si>
    <t>웰컴딜</t>
    <phoneticPr fontId="2" type="noConversion"/>
  </si>
  <si>
    <t>WelcomeDeal</t>
    <phoneticPr fontId="2" type="noConversion"/>
  </si>
  <si>
    <t>FactoryChase</t>
    <phoneticPr fontId="2" type="noConversion"/>
  </si>
  <si>
    <t>팩토리 채스</t>
    <phoneticPr fontId="2" type="noConversion"/>
  </si>
  <si>
    <t>Moving_Door_Lock</t>
    <phoneticPr fontId="2" type="noConversion"/>
  </si>
  <si>
    <t>IceGate</t>
    <phoneticPr fontId="2" type="noConversion"/>
  </si>
  <si>
    <t>MovingDoorLock</t>
    <phoneticPr fontId="2" type="noConversion"/>
  </si>
  <si>
    <t>Crate</t>
    <phoneticPr fontId="2" type="noConversion"/>
  </si>
  <si>
    <t>MovingObstacle</t>
    <phoneticPr fontId="2" type="noConversion"/>
  </si>
  <si>
    <t>ScrewBlock</t>
    <phoneticPr fontId="2" type="noConversion"/>
  </si>
  <si>
    <t>ColorDoor</t>
    <phoneticPr fontId="2" type="noConversion"/>
  </si>
  <si>
    <t>ChainGate</t>
    <phoneticPr fontId="2" type="noConversion"/>
  </si>
  <si>
    <t>GatekeyBlock</t>
    <phoneticPr fontId="2" type="noConversion"/>
  </si>
  <si>
    <t>SizeChangingDoor</t>
    <phoneticPr fontId="2" type="noConversion"/>
  </si>
  <si>
    <t>CombinedLockedBlock</t>
    <phoneticPr fontId="2" type="noConversion"/>
  </si>
  <si>
    <t>HiddenBlock</t>
    <phoneticPr fontId="2" type="noConversion"/>
  </si>
  <si>
    <t>DynamiteBlock</t>
    <phoneticPr fontId="2" type="noConversion"/>
  </si>
  <si>
    <t>CuratinBlock</t>
    <phoneticPr fontId="2" type="noConversion"/>
  </si>
  <si>
    <t>MoveableCrate</t>
    <phoneticPr fontId="2" type="noConversion"/>
  </si>
  <si>
    <t>ColorSwitchingDoor</t>
    <phoneticPr fontId="2" type="noConversion"/>
  </si>
  <si>
    <t>TimeCapsuleBlock</t>
    <phoneticPr fontId="2" type="noConversion"/>
  </si>
  <si>
    <t>ColorSwitchingBlock</t>
    <phoneticPr fontId="2" type="noConversion"/>
  </si>
  <si>
    <t>JumpingSingleDoor</t>
    <phoneticPr fontId="2" type="noConversion"/>
  </si>
  <si>
    <t>Ice_Gate</t>
    <phoneticPr fontId="2" type="noConversion"/>
  </si>
  <si>
    <t>Moving_Obstacle</t>
    <phoneticPr fontId="2" type="noConversion"/>
  </si>
  <si>
    <t>Screw_Block</t>
    <phoneticPr fontId="2" type="noConversion"/>
  </si>
  <si>
    <t>Color_Door</t>
    <phoneticPr fontId="2" type="noConversion"/>
  </si>
  <si>
    <t>Chain_Gate</t>
    <phoneticPr fontId="2" type="noConversion"/>
  </si>
  <si>
    <t>Gatekey_Block</t>
    <phoneticPr fontId="2" type="noConversion"/>
  </si>
  <si>
    <t>Size_Changing_Door</t>
    <phoneticPr fontId="2" type="noConversion"/>
  </si>
  <si>
    <t>Combined_Locked_Block</t>
    <phoneticPr fontId="2" type="noConversion"/>
  </si>
  <si>
    <t>Hidden_Block</t>
    <phoneticPr fontId="2" type="noConversion"/>
  </si>
  <si>
    <t>Dynamite_Block</t>
    <phoneticPr fontId="2" type="noConversion"/>
  </si>
  <si>
    <t>Curtain_Block</t>
    <phoneticPr fontId="2" type="noConversion"/>
  </si>
  <si>
    <t>Moveable_Crate</t>
    <phoneticPr fontId="2" type="noConversion"/>
  </si>
  <si>
    <t>Color_Switching_Door</t>
    <phoneticPr fontId="2" type="noConversion"/>
  </si>
  <si>
    <t>Time_Capsule_Block</t>
    <phoneticPr fontId="2" type="noConversion"/>
  </si>
  <si>
    <t>Color_Switching_Block</t>
    <phoneticPr fontId="2" type="noConversion"/>
  </si>
  <si>
    <t>Jumping_Single_Door</t>
    <phoneticPr fontId="2" type="noConversion"/>
  </si>
  <si>
    <t>DoorLockMove</t>
    <phoneticPr fontId="2" type="noConversion"/>
  </si>
  <si>
    <t>BLOCK_GIMMICK_CATEGORY</t>
    <phoneticPr fontId="2" type="noConversion"/>
  </si>
  <si>
    <t>블럭 기믹 카테고리</t>
    <phoneticPr fontId="2" type="noConversion"/>
  </si>
  <si>
    <t>DEFAULT</t>
    <phoneticPr fontId="2" type="noConversion"/>
  </si>
  <si>
    <t>ORIGINAL</t>
    <phoneticPr fontId="2" type="noConversion"/>
  </si>
  <si>
    <t>COUNT</t>
    <phoneticPr fontId="2" type="noConversion"/>
  </si>
  <si>
    <t>STATECHANGE</t>
    <phoneticPr fontId="2" type="noConversion"/>
  </si>
  <si>
    <t>특별히 분류 할 필요 없는 기믹</t>
    <phoneticPr fontId="2" type="noConversion"/>
  </si>
  <si>
    <t>블럭이 나눠질 때 복사되면 안되는 기믹</t>
    <phoneticPr fontId="2" type="noConversion"/>
  </si>
  <si>
    <t>카운트를 사용하는 기믹</t>
    <phoneticPr fontId="2" type="noConversion"/>
  </si>
  <si>
    <t>상태가 변하는 기믹</t>
    <phoneticPr fontId="2" type="noConversion"/>
  </si>
  <si>
    <t>StartingBooster</t>
    <phoneticPr fontId="2" type="noConversion"/>
  </si>
  <si>
    <t>스타팅 부스터</t>
    <phoneticPr fontId="2" type="noConversion"/>
  </si>
  <si>
    <t>AddTimer</t>
    <phoneticPr fontId="2" type="noConversion"/>
  </si>
  <si>
    <t>AddTimer 부스터</t>
    <phoneticPr fontId="2" type="noConversion"/>
  </si>
  <si>
    <t>RandomRocket</t>
    <phoneticPr fontId="2" type="noConversion"/>
  </si>
  <si>
    <t>RandomRocket 부스터</t>
    <phoneticPr fontId="2" type="noConversion"/>
  </si>
  <si>
    <t>OBS</t>
    <phoneticPr fontId="2" type="noConversion"/>
  </si>
  <si>
    <t>Screw</t>
    <phoneticPr fontId="2" type="noConversion"/>
  </si>
  <si>
    <t>U_3x2</t>
    <phoneticPr fontId="2" type="noConversion"/>
  </si>
  <si>
    <t>ColorGate</t>
    <phoneticPr fontId="2" type="noConversion"/>
  </si>
  <si>
    <t>CrateBlock_Type</t>
    <phoneticPr fontId="2" type="noConversion"/>
  </si>
  <si>
    <t>Crate 기믹 블록타입</t>
    <phoneticPr fontId="2" type="noConversion"/>
  </si>
  <si>
    <t>Square_1x2</t>
  </si>
  <si>
    <t>Square_2x3</t>
    <phoneticPr fontId="2" type="noConversion"/>
  </si>
  <si>
    <t>Square_2x4</t>
    <phoneticPr fontId="2" type="noConversion"/>
  </si>
  <si>
    <t>Square_3x4</t>
    <phoneticPr fontId="2" type="noConversion"/>
  </si>
  <si>
    <t>Square_3x3</t>
    <phoneticPr fontId="2" type="noConversion"/>
  </si>
  <si>
    <t>Square_2x5</t>
    <phoneticPr fontId="2" type="noConversion"/>
  </si>
  <si>
    <t>Corner_2x4</t>
    <phoneticPr fontId="2" type="noConversion"/>
  </si>
  <si>
    <t>Corner_2x4_R</t>
    <phoneticPr fontId="2" type="noConversion"/>
  </si>
  <si>
    <t>T_3x2</t>
    <phoneticPr fontId="2" type="noConversion"/>
  </si>
  <si>
    <t>T_3x3</t>
    <phoneticPr fontId="2" type="noConversion"/>
  </si>
  <si>
    <t>Cross_5x5</t>
    <phoneticPr fontId="2" type="noConversion"/>
  </si>
  <si>
    <t>회색(분쇄 못하는 블럭)</t>
    <phoneticPr fontId="2" type="noConversion"/>
  </si>
  <si>
    <t>RAINBOW</t>
    <phoneticPr fontId="2" type="noConversion"/>
  </si>
  <si>
    <t>무지개색</t>
    <phoneticPr fontId="2" type="noConversion"/>
  </si>
  <si>
    <t>Rainbow</t>
    <phoneticPr fontId="2" type="noConversion"/>
  </si>
  <si>
    <t>Corner_3x4_R</t>
    <phoneticPr fontId="2" type="noConversion"/>
  </si>
  <si>
    <t>Corner_3x4</t>
    <phoneticPr fontId="2" type="noConversion"/>
  </si>
  <si>
    <t>Square_1x3</t>
  </si>
  <si>
    <t>S_3x2</t>
    <phoneticPr fontId="2" type="noConversion"/>
  </si>
  <si>
    <t>Z_3x2</t>
    <phoneticPr fontId="2" type="noConversion"/>
  </si>
  <si>
    <t>SPECIAL_OFFER_TYPE</t>
    <phoneticPr fontId="2" type="noConversion"/>
  </si>
  <si>
    <t>PickOne_1</t>
    <phoneticPr fontId="2" type="noConversion"/>
  </si>
  <si>
    <t>WelcomeDeal_1</t>
    <phoneticPr fontId="2" type="noConversion"/>
  </si>
  <si>
    <t>EndlessGift_1</t>
    <phoneticPr fontId="2" type="noConversion"/>
  </si>
  <si>
    <t>EndlessOffer</t>
    <phoneticPr fontId="2" type="noConversion"/>
  </si>
  <si>
    <t>PickOne_2</t>
    <phoneticPr fontId="2" type="noConversion"/>
  </si>
  <si>
    <t>PickOne_3</t>
    <phoneticPr fontId="2" type="noConversion"/>
  </si>
  <si>
    <t>엔드리스 오퍼</t>
    <phoneticPr fontId="2" type="noConversion"/>
  </si>
  <si>
    <t>WelcomeDeal_2</t>
    <phoneticPr fontId="2" type="noConversion"/>
  </si>
  <si>
    <t>EndlessOffer_1</t>
    <phoneticPr fontId="2" type="noConversion"/>
  </si>
  <si>
    <t>PickOne</t>
    <phoneticPr fontId="2" type="noConversion"/>
  </si>
  <si>
    <t>픽원 오퍼</t>
    <phoneticPr fontId="2" type="noConversion"/>
  </si>
  <si>
    <t>PICKONE_OFFER_TYPE</t>
    <phoneticPr fontId="2" type="noConversion"/>
  </si>
  <si>
    <t>픽원 오퍼 타입</t>
    <phoneticPr fontId="2" type="noConversion"/>
  </si>
  <si>
    <t>WELCOME_DEAL_TYPE</t>
    <phoneticPr fontId="2" type="noConversion"/>
  </si>
  <si>
    <t>웰컴딜 타입</t>
    <phoneticPr fontId="2" type="noConversion"/>
  </si>
  <si>
    <t>시즌1</t>
    <phoneticPr fontId="2" type="noConversion"/>
  </si>
  <si>
    <t>시즌2</t>
    <phoneticPr fontId="2" type="noConversion"/>
  </si>
  <si>
    <t>시즌3</t>
    <phoneticPr fontId="2" type="noConversion"/>
  </si>
  <si>
    <t>ENDLESS_OFFER_TYPE</t>
    <phoneticPr fontId="2" type="noConversion"/>
  </si>
  <si>
    <t>세로형 1</t>
    <phoneticPr fontId="2" type="noConversion"/>
  </si>
  <si>
    <t>ChangeGateColor</t>
    <phoneticPr fontId="2" type="noConversion"/>
  </si>
  <si>
    <t>ChangeGateSize</t>
    <phoneticPr fontId="2" type="noConversion"/>
  </si>
  <si>
    <t>AddDynamiteCount</t>
    <phoneticPr fontId="2" type="noConversion"/>
  </si>
  <si>
    <t>ReverseCurtain</t>
    <phoneticPr fontId="2" type="noConversion"/>
  </si>
  <si>
    <t>SwitchGateColor</t>
    <phoneticPr fontId="2" type="noConversion"/>
  </si>
  <si>
    <t>JumpingSingleDoorMove</t>
    <phoneticPr fontId="2" type="noConversion"/>
  </si>
  <si>
    <t>Chain</t>
    <phoneticPr fontId="2" type="noConversion"/>
  </si>
  <si>
    <t>InfiniteAddTimer</t>
    <phoneticPr fontId="2" type="noConversion"/>
  </si>
  <si>
    <t>InfiniteRandomRocket</t>
    <phoneticPr fontId="2" type="noConversion"/>
  </si>
  <si>
    <t>PickOne_4</t>
    <phoneticPr fontId="2" type="noConversion"/>
  </si>
  <si>
    <t>시즌4</t>
    <phoneticPr fontId="2" type="noConversion"/>
  </si>
  <si>
    <t>PickOne_5</t>
  </si>
  <si>
    <t>시즌5</t>
  </si>
  <si>
    <t>INGAME_STAGECLEAR_AND_PLAYTIME_2</t>
    <phoneticPr fontId="2" type="noConversion"/>
  </si>
  <si>
    <t>INGAME_STAGECLEAR_OR_PLAYTIME</t>
    <phoneticPr fontId="2" type="noConversion"/>
  </si>
  <si>
    <t>INGAME_STAGECLEAR_OR_PLAYTIME_2</t>
    <phoneticPr fontId="2" type="noConversion"/>
  </si>
  <si>
    <t>스테이지 클리어 OR 플레이시간 Segment 2</t>
    <phoneticPr fontId="2" type="noConversion"/>
  </si>
  <si>
    <t>스테이지 클리어 AND 플레이 시간 Segment 2</t>
    <phoneticPr fontId="2" type="noConversion"/>
  </si>
  <si>
    <t>스테이지 클리어 OR 플레이시간 Segment 1</t>
    <phoneticPr fontId="2" type="noConversion"/>
  </si>
  <si>
    <t>스테이지 클리어 AND 플레이 시간 Segment 1</t>
    <phoneticPr fontId="2" type="noConversion"/>
  </si>
  <si>
    <t>InGame_StageClear_2</t>
    <phoneticPr fontId="2" type="noConversion"/>
  </si>
  <si>
    <t>PlayTime_2</t>
    <phoneticPr fontId="2" type="noConversion"/>
  </si>
  <si>
    <t>인게임 스테이지 클리어 Segment 2</t>
    <phoneticPr fontId="2" type="noConversion"/>
  </si>
  <si>
    <t>체류 시간 Segment 2</t>
    <phoneticPr fontId="2" type="noConversion"/>
  </si>
  <si>
    <t>인게임 스테이지 클리어 Segment 1</t>
    <phoneticPr fontId="2" type="noConversion"/>
  </si>
  <si>
    <t>체류 시간 Segment 1</t>
    <phoneticPr fontId="2" type="noConversion"/>
  </si>
  <si>
    <t>Dynamite</t>
    <phoneticPr fontId="2" type="noConversion"/>
  </si>
  <si>
    <t>Curtain</t>
    <phoneticPr fontId="2" type="noConversion"/>
  </si>
  <si>
    <t>TimeCapsule</t>
    <phoneticPr fontId="2" type="noConversion"/>
  </si>
  <si>
    <t>ColorSwitching</t>
    <phoneticPr fontId="2" type="noConversion"/>
  </si>
  <si>
    <t>SizeChanging</t>
    <phoneticPr fontId="2" type="noConversion"/>
  </si>
  <si>
    <t>JumpingSingle</t>
    <phoneticPr fontId="2" type="noConversion"/>
  </si>
  <si>
    <t>SB_1</t>
    <phoneticPr fontId="2" type="noConversion"/>
  </si>
  <si>
    <t>버닝 번들 1</t>
    <phoneticPr fontId="2" type="noConversion"/>
  </si>
  <si>
    <t>체인형 1</t>
    <phoneticPr fontId="2" type="noConversion"/>
  </si>
  <si>
    <t>Daily_Wakeup</t>
    <phoneticPr fontId="2" type="noConversion"/>
  </si>
  <si>
    <t>Pickone_End</t>
    <phoneticPr fontId="2" type="noConversion"/>
  </si>
  <si>
    <t>Vertical_End</t>
    <phoneticPr fontId="2" type="noConversion"/>
  </si>
  <si>
    <t>Chain_End</t>
    <phoneticPr fontId="2" type="noConversion"/>
  </si>
  <si>
    <t>데일리 푸시2</t>
    <phoneticPr fontId="2" type="noConversion"/>
  </si>
  <si>
    <t>픽원 종료 알림</t>
    <phoneticPr fontId="2" type="noConversion"/>
  </si>
  <si>
    <t>엔드리스(세로형) 종료 알림</t>
    <phoneticPr fontId="2" type="noConversion"/>
  </si>
  <si>
    <t>엔드리스(체인형) 종료 알림</t>
    <phoneticPr fontId="2" type="noConversion"/>
  </si>
  <si>
    <t>PickOne_6</t>
  </si>
  <si>
    <t>시즌6</t>
  </si>
  <si>
    <t>실패 번들</t>
    <phoneticPr fontId="2" type="noConversion"/>
  </si>
  <si>
    <t>Common_4</t>
    <phoneticPr fontId="2" type="noConversion"/>
  </si>
  <si>
    <t>AdventureStreak</t>
    <phoneticPr fontId="2" type="noConversion"/>
  </si>
  <si>
    <t>어드벤어스트릭</t>
    <phoneticPr fontId="2" type="noConversion"/>
  </si>
  <si>
    <t>PickOne_7</t>
  </si>
  <si>
    <t>시즌7</t>
  </si>
  <si>
    <t>PickOne_8</t>
  </si>
  <si>
    <t>시즌8</t>
  </si>
  <si>
    <t>PinataParty</t>
    <phoneticPr fontId="2" type="noConversion"/>
  </si>
  <si>
    <t>피냐타 파티</t>
    <phoneticPr fontId="2" type="noConversion"/>
  </si>
  <si>
    <t>PickOne_9</t>
  </si>
  <si>
    <t>시즌9</t>
  </si>
  <si>
    <t>COIN_RUSH_TYPE</t>
    <phoneticPr fontId="2" type="noConversion"/>
  </si>
  <si>
    <t>코인 러쉬 타입</t>
    <phoneticPr fontId="2" type="noConversion"/>
  </si>
  <si>
    <t>CoinRush_1</t>
    <phoneticPr fontId="2" type="noConversion"/>
  </si>
  <si>
    <t>코인러쉬</t>
    <phoneticPr fontId="2" type="noConversion"/>
  </si>
  <si>
    <t>CoinRush</t>
    <phoneticPr fontId="2" type="noConversion"/>
  </si>
  <si>
    <t>InGame_PlayOn</t>
    <phoneticPr fontId="2" type="noConversion"/>
  </si>
  <si>
    <t>인게임 이어하기 광고</t>
    <phoneticPr fontId="2" type="noConversion"/>
  </si>
  <si>
    <t>ADS_SEGMENT_TYPE</t>
    <phoneticPr fontId="2" type="noConversion"/>
  </si>
  <si>
    <t>Local</t>
    <phoneticPr fontId="2" type="noConversion"/>
  </si>
  <si>
    <t>ABTest</t>
    <phoneticPr fontId="2" type="noConversion"/>
  </si>
  <si>
    <t>광고 세그먼트 타입</t>
    <phoneticPr fontId="2" type="noConversion"/>
  </si>
  <si>
    <t>로컬 조건 체크</t>
    <phoneticPr fontId="2" type="noConversion"/>
  </si>
  <si>
    <t>AB 테스트</t>
    <phoneticPr fontId="2" type="noConversion"/>
  </si>
  <si>
    <t>InGame_StageClear_3</t>
    <phoneticPr fontId="2" type="noConversion"/>
  </si>
  <si>
    <t>PlayTime_3</t>
    <phoneticPr fontId="2" type="noConversion"/>
  </si>
  <si>
    <t>인게임 스테이지 클리어 Segment 3</t>
    <phoneticPr fontId="2" type="noConversion"/>
  </si>
  <si>
    <t>체류 시간 Segment 3</t>
    <phoneticPr fontId="2" type="noConversion"/>
  </si>
  <si>
    <t>INGAME_STAGECLEAR_OR_PLAYTIME_3</t>
    <phoneticPr fontId="2" type="noConversion"/>
  </si>
  <si>
    <t>스테이지 클리어 OR 플레이시간 Segment 3</t>
    <phoneticPr fontId="2" type="noConversion"/>
  </si>
  <si>
    <t>WinTower</t>
    <phoneticPr fontId="2" type="noConversion"/>
  </si>
  <si>
    <t>윈타워</t>
    <phoneticPr fontId="2" type="noConversion"/>
  </si>
  <si>
    <t>PickOne_10</t>
  </si>
  <si>
    <t>시즌10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</si>
</sst>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sz val="8"/>
      <color rgb="FF000000"/>
      <name val="맑은 고딕"/>
      <family val="2"/>
      <charset val="129"/>
      <scheme val="minor"/>
    </font>
    <font>
      <sz val="8"/>
      <color theme="1"/>
      <name val="Malgun Gothic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8" borderId="1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7" fillId="9" borderId="1" xfId="0" applyFont="1" applyFill="1" applyBorder="1">
      <alignment vertical="center"/>
    </xf>
    <xf numFmtId="0" fontId="8" fillId="0" borderId="0" xfId="0" applyFont="1">
      <alignment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644C-4731-3443-B762-E188212DA176}">
  <dimension ref="A2:J97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7" sqref="F7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" si="0">C5&amp;"|"&amp;E5</f>
        <v>Lobby_StageBlock_Type|0</v>
      </c>
      <c r="C5" s="9" t="s">
        <v>282</v>
      </c>
      <c r="D5" s="9" t="s">
        <v>279</v>
      </c>
      <c r="E5" s="9">
        <v>0</v>
      </c>
      <c r="F5" s="8" t="str">
        <f t="shared" ref="F5:F39" si="1">IF(H5="", "", H5&amp;IF(I5="", "", " | "&amp;I5)&amp;IF(J54="", "", " | "&amp;J54))</f>
        <v>로비 스테이지 블록 | Green</v>
      </c>
      <c r="H5" s="9" t="s">
        <v>283</v>
      </c>
      <c r="I5" s="9" t="s">
        <v>279</v>
      </c>
      <c r="J5" s="9"/>
    </row>
    <row r="6" spans="1:10">
      <c r="B6" s="8" t="str">
        <f t="shared" ref="B6" si="2">C6&amp;"|"&amp;E6</f>
        <v>Lobby_StageBlock_Type|1</v>
      </c>
      <c r="C6" s="9" t="s">
        <v>282</v>
      </c>
      <c r="D6" s="9" t="s">
        <v>280</v>
      </c>
      <c r="E6" s="9">
        <v>1</v>
      </c>
      <c r="F6" s="8" t="str">
        <f t="shared" si="1"/>
        <v>로비 스테이지 블록 | Red</v>
      </c>
      <c r="H6" s="9" t="s">
        <v>283</v>
      </c>
      <c r="I6" s="9" t="s">
        <v>280</v>
      </c>
      <c r="J6" s="9"/>
    </row>
    <row r="7" spans="1:10">
      <c r="B7" s="8" t="str">
        <f t="shared" ref="B7:B43" si="3">C7&amp;"|"&amp;E7</f>
        <v>Lobby_StageBlock_Type|2</v>
      </c>
      <c r="C7" s="9" t="s">
        <v>282</v>
      </c>
      <c r="D7" s="9" t="s">
        <v>281</v>
      </c>
      <c r="E7" s="9">
        <v>2</v>
      </c>
      <c r="F7" s="8" t="str">
        <f t="shared" si="1"/>
        <v>로비 스테이지 블록 | Purple</v>
      </c>
      <c r="H7" s="9" t="s">
        <v>283</v>
      </c>
      <c r="I7" s="9" t="s">
        <v>281</v>
      </c>
      <c r="J7" s="9"/>
    </row>
    <row r="8" spans="1:10">
      <c r="B8" s="8" t="str">
        <f t="shared" si="3"/>
        <v>Gimmick_Unlock_Info_Type|0</v>
      </c>
      <c r="C8" s="9" t="s">
        <v>317</v>
      </c>
      <c r="D8" s="9" t="s">
        <v>41</v>
      </c>
      <c r="E8" s="9">
        <v>0</v>
      </c>
      <c r="F8" s="8" t="str">
        <f t="shared" si="1"/>
        <v>기믹 언락 안내 | None</v>
      </c>
      <c r="H8" s="9" t="s">
        <v>329</v>
      </c>
      <c r="I8" s="9" t="s">
        <v>41</v>
      </c>
      <c r="J8" s="9"/>
    </row>
    <row r="9" spans="1:10">
      <c r="B9" s="8" t="str">
        <f t="shared" si="3"/>
        <v>Gimmick_Unlock_Info_Type|1</v>
      </c>
      <c r="C9" s="9" t="s">
        <v>317</v>
      </c>
      <c r="D9" s="9" t="s">
        <v>330</v>
      </c>
      <c r="E9" s="9">
        <v>1</v>
      </c>
      <c r="F9" s="8" t="str">
        <f t="shared" si="1"/>
        <v>기믹 언락 안내 | ArrowBlock</v>
      </c>
      <c r="H9" s="9" t="s">
        <v>329</v>
      </c>
      <c r="I9" s="9" t="s">
        <v>318</v>
      </c>
      <c r="J9" s="9"/>
    </row>
    <row r="10" spans="1:10">
      <c r="B10" s="8" t="str">
        <f t="shared" si="3"/>
        <v>Gimmick_Unlock_Info_Type|2</v>
      </c>
      <c r="C10" s="9" t="s">
        <v>317</v>
      </c>
      <c r="D10" s="9" t="s">
        <v>331</v>
      </c>
      <c r="E10" s="9">
        <v>2</v>
      </c>
      <c r="F10" s="8" t="str">
        <f t="shared" si="1"/>
        <v>기믹 언락 안내 | LayerBlock</v>
      </c>
      <c r="H10" s="9" t="s">
        <v>329</v>
      </c>
      <c r="I10" s="9" t="s">
        <v>319</v>
      </c>
      <c r="J10" s="9"/>
    </row>
    <row r="11" spans="1:10">
      <c r="B11" s="8" t="str">
        <f t="shared" si="3"/>
        <v>Gimmick_Unlock_Info_Type|3</v>
      </c>
      <c r="C11" s="9" t="s">
        <v>317</v>
      </c>
      <c r="D11" s="9" t="s">
        <v>332</v>
      </c>
      <c r="E11" s="9">
        <v>3</v>
      </c>
      <c r="F11" s="8" t="str">
        <f t="shared" si="1"/>
        <v>기믹 언락 안내 | IceBlock</v>
      </c>
      <c r="H11" s="9" t="s">
        <v>329</v>
      </c>
      <c r="I11" s="9" t="s">
        <v>320</v>
      </c>
      <c r="J11" s="9"/>
    </row>
    <row r="12" spans="1:10">
      <c r="B12" s="8" t="str">
        <f t="shared" si="3"/>
        <v>Gimmick_Unlock_Info_Type|4</v>
      </c>
      <c r="C12" s="9" t="s">
        <v>317</v>
      </c>
      <c r="D12" s="9" t="s">
        <v>333</v>
      </c>
      <c r="E12" s="9">
        <v>4</v>
      </c>
      <c r="F12" s="8" t="str">
        <f t="shared" si="1"/>
        <v>기믹 언락 안내 | StarBlock</v>
      </c>
      <c r="H12" s="9" t="s">
        <v>329</v>
      </c>
      <c r="I12" s="9" t="s">
        <v>321</v>
      </c>
      <c r="J12" s="9"/>
    </row>
    <row r="13" spans="1:10">
      <c r="B13" s="8" t="str">
        <f t="shared" si="3"/>
        <v>Gimmick_Unlock_Info_Type|5</v>
      </c>
      <c r="C13" s="9" t="s">
        <v>317</v>
      </c>
      <c r="D13" s="9" t="s">
        <v>334</v>
      </c>
      <c r="E13" s="9">
        <v>5</v>
      </c>
      <c r="F13" s="8" t="str">
        <f t="shared" si="1"/>
        <v>기믹 언락 안내 | StarGate</v>
      </c>
      <c r="H13" s="9" t="s">
        <v>329</v>
      </c>
      <c r="I13" s="9" t="s">
        <v>153</v>
      </c>
      <c r="J13" s="9"/>
    </row>
    <row r="14" spans="1:10">
      <c r="B14" s="8" t="str">
        <f t="shared" si="3"/>
        <v>Gimmick_Unlock_Info_Type|6</v>
      </c>
      <c r="C14" s="9" t="s">
        <v>317</v>
      </c>
      <c r="D14" s="9" t="s">
        <v>335</v>
      </c>
      <c r="E14" s="9">
        <v>6</v>
      </c>
      <c r="F14" s="8" t="str">
        <f t="shared" si="1"/>
        <v>기믹 언락 안내 | ChainBlock</v>
      </c>
      <c r="H14" s="9" t="s">
        <v>329</v>
      </c>
      <c r="I14" s="9" t="s">
        <v>322</v>
      </c>
      <c r="J14" s="9"/>
    </row>
    <row r="15" spans="1:10">
      <c r="B15" s="8" t="str">
        <f t="shared" si="3"/>
        <v>Gimmick_Unlock_Info_Type|7</v>
      </c>
      <c r="C15" s="9" t="s">
        <v>317</v>
      </c>
      <c r="D15" s="9" t="s">
        <v>336</v>
      </c>
      <c r="E15" s="9">
        <v>7</v>
      </c>
      <c r="F15" s="8" t="str">
        <f t="shared" si="1"/>
        <v>기믹 언락 안내 | KeyBlock</v>
      </c>
      <c r="H15" s="9" t="s">
        <v>329</v>
      </c>
      <c r="I15" s="9" t="s">
        <v>323</v>
      </c>
      <c r="J15" s="9"/>
    </row>
    <row r="16" spans="1:10">
      <c r="B16" s="8" t="str">
        <f t="shared" si="3"/>
        <v>Gimmick_Unlock_Info_Type|8</v>
      </c>
      <c r="C16" s="9" t="s">
        <v>317</v>
      </c>
      <c r="D16" s="9" t="s">
        <v>337</v>
      </c>
      <c r="E16" s="9">
        <v>8</v>
      </c>
      <c r="F16" s="8" t="str">
        <f t="shared" si="1"/>
        <v>기믹 언락 안내 | CombinedBlock</v>
      </c>
      <c r="H16" s="9" t="s">
        <v>329</v>
      </c>
      <c r="I16" s="9" t="s">
        <v>324</v>
      </c>
      <c r="J16" s="9"/>
    </row>
    <row r="17" spans="2:10">
      <c r="B17" s="8" t="str">
        <f t="shared" si="3"/>
        <v>Gimmick_Unlock_Info_Type|9</v>
      </c>
      <c r="C17" s="9" t="s">
        <v>317</v>
      </c>
      <c r="D17" s="9" t="s">
        <v>155</v>
      </c>
      <c r="E17" s="9">
        <v>9</v>
      </c>
      <c r="F17" s="8" t="str">
        <f t="shared" si="1"/>
        <v>기믹 언락 안내 | Door</v>
      </c>
      <c r="H17" s="9" t="s">
        <v>329</v>
      </c>
      <c r="I17" s="9" t="s">
        <v>155</v>
      </c>
      <c r="J17" s="9"/>
    </row>
    <row r="18" spans="2:10">
      <c r="B18" s="8" t="str">
        <f t="shared" si="3"/>
        <v>Gimmick_Unlock_Info_Type|10</v>
      </c>
      <c r="C18" s="9" t="s">
        <v>317</v>
      </c>
      <c r="D18" s="9" t="s">
        <v>338</v>
      </c>
      <c r="E18" s="9">
        <v>10</v>
      </c>
      <c r="F18" s="8" t="str">
        <f t="shared" si="1"/>
        <v>기믹 언락 안내 | BombBlock</v>
      </c>
      <c r="H18" s="9" t="s">
        <v>329</v>
      </c>
      <c r="I18" s="9" t="s">
        <v>325</v>
      </c>
      <c r="J18" s="9"/>
    </row>
    <row r="19" spans="2:10">
      <c r="B19" s="8" t="str">
        <f t="shared" si="3"/>
        <v>Gimmick_Unlock_Info_Type|11</v>
      </c>
      <c r="C19" s="9" t="s">
        <v>317</v>
      </c>
      <c r="D19" s="9" t="s">
        <v>339</v>
      </c>
      <c r="E19" s="9">
        <v>11</v>
      </c>
      <c r="F19" s="8" t="str">
        <f t="shared" si="1"/>
        <v>기믹 언락 안내 | RopesBlock</v>
      </c>
      <c r="H19" s="9" t="s">
        <v>329</v>
      </c>
      <c r="I19" s="9" t="s">
        <v>326</v>
      </c>
      <c r="J19" s="9"/>
    </row>
    <row r="20" spans="2:10">
      <c r="B20" s="8" t="str">
        <f t="shared" si="3"/>
        <v>Gimmick_Unlock_Info_Type|12</v>
      </c>
      <c r="C20" s="9" t="s">
        <v>317</v>
      </c>
      <c r="D20" s="9" t="s">
        <v>340</v>
      </c>
      <c r="E20" s="9">
        <v>12</v>
      </c>
      <c r="F20" s="8" t="str">
        <f t="shared" si="1"/>
        <v>기믹 언락 안내 | ScissorsBlock</v>
      </c>
      <c r="H20" s="9" t="s">
        <v>329</v>
      </c>
      <c r="I20" s="9" t="s">
        <v>327</v>
      </c>
      <c r="J20" s="9"/>
    </row>
    <row r="21" spans="2:10">
      <c r="B21" s="8" t="str">
        <f t="shared" si="3"/>
        <v>Gimmick_Unlock_Info_Type|13</v>
      </c>
      <c r="C21" s="9" t="s">
        <v>317</v>
      </c>
      <c r="D21" s="9" t="s">
        <v>341</v>
      </c>
      <c r="E21" s="9">
        <v>13</v>
      </c>
      <c r="F21" s="8" t="str">
        <f t="shared" si="1"/>
        <v>기믹 언락 안내 | ColorfulPath</v>
      </c>
      <c r="H21" s="9" t="s">
        <v>329</v>
      </c>
      <c r="I21" s="9" t="s">
        <v>328</v>
      </c>
      <c r="J21" s="9"/>
    </row>
    <row r="22" spans="2:10">
      <c r="B22" s="8" t="str">
        <f t="shared" si="3"/>
        <v>Gimmick_Unlock_Info_Type|14</v>
      </c>
      <c r="C22" s="9" t="s">
        <v>317</v>
      </c>
      <c r="D22" s="9" t="s">
        <v>386</v>
      </c>
      <c r="E22" s="9">
        <v>14</v>
      </c>
      <c r="F22" s="8" t="str">
        <f t="shared" si="1"/>
        <v>기믹 언락 안내 | IceGate</v>
      </c>
      <c r="H22" s="9" t="s">
        <v>329</v>
      </c>
      <c r="I22" s="9" t="s">
        <v>368</v>
      </c>
      <c r="J22" s="9"/>
    </row>
    <row r="23" spans="2:10">
      <c r="B23" s="8" t="str">
        <f t="shared" si="3"/>
        <v>Gimmick_Unlock_Info_Type|15</v>
      </c>
      <c r="C23" s="9" t="s">
        <v>317</v>
      </c>
      <c r="D23" s="9" t="s">
        <v>367</v>
      </c>
      <c r="E23" s="9">
        <v>15</v>
      </c>
      <c r="F23" s="8" t="str">
        <f t="shared" si="1"/>
        <v>기믹 언락 안내 | MovingDoorLock</v>
      </c>
      <c r="H23" s="9" t="s">
        <v>329</v>
      </c>
      <c r="I23" s="9" t="s">
        <v>369</v>
      </c>
      <c r="J23" s="9"/>
    </row>
    <row r="24" spans="2:10">
      <c r="B24" s="8" t="str">
        <f t="shared" si="3"/>
        <v>Gimmick_Unlock_Info_Type|16</v>
      </c>
      <c r="C24" s="9" t="s">
        <v>317</v>
      </c>
      <c r="D24" s="9" t="s">
        <v>370</v>
      </c>
      <c r="E24" s="9">
        <v>16</v>
      </c>
      <c r="F24" s="8" t="str">
        <f t="shared" si="1"/>
        <v>기믹 언락 안내 | Crate</v>
      </c>
      <c r="H24" s="9" t="s">
        <v>329</v>
      </c>
      <c r="I24" s="9" t="s">
        <v>370</v>
      </c>
      <c r="J24" s="9"/>
    </row>
    <row r="25" spans="2:10">
      <c r="B25" s="8" t="str">
        <f t="shared" si="3"/>
        <v>Gimmick_Unlock_Info_Type|17</v>
      </c>
      <c r="C25" s="9" t="s">
        <v>317</v>
      </c>
      <c r="D25" s="9" t="s">
        <v>387</v>
      </c>
      <c r="E25" s="9">
        <v>17</v>
      </c>
      <c r="F25" s="8" t="str">
        <f t="shared" si="1"/>
        <v>기믹 언락 안내 | MovingObstacle</v>
      </c>
      <c r="H25" s="9" t="s">
        <v>329</v>
      </c>
      <c r="I25" s="9" t="s">
        <v>371</v>
      </c>
      <c r="J25" s="9"/>
    </row>
    <row r="26" spans="2:10">
      <c r="B26" s="8" t="str">
        <f t="shared" si="3"/>
        <v>Gimmick_Unlock_Info_Type|18</v>
      </c>
      <c r="C26" s="9" t="s">
        <v>317</v>
      </c>
      <c r="D26" s="9" t="s">
        <v>388</v>
      </c>
      <c r="E26" s="9">
        <v>18</v>
      </c>
      <c r="F26" s="8" t="str">
        <f t="shared" si="1"/>
        <v>기믹 언락 안내 | ScrewBlock</v>
      </c>
      <c r="H26" s="9" t="s">
        <v>329</v>
      </c>
      <c r="I26" s="9" t="s">
        <v>372</v>
      </c>
      <c r="J26" s="9"/>
    </row>
    <row r="27" spans="2:10">
      <c r="B27" s="8" t="str">
        <f t="shared" si="3"/>
        <v>Gimmick_Unlock_Info_Type|19</v>
      </c>
      <c r="C27" s="9" t="s">
        <v>317</v>
      </c>
      <c r="D27" s="9" t="s">
        <v>389</v>
      </c>
      <c r="E27" s="9">
        <v>19</v>
      </c>
      <c r="F27" s="8" t="str">
        <f t="shared" si="1"/>
        <v>기믹 언락 안내 | ColorDoor</v>
      </c>
      <c r="H27" s="9" t="s">
        <v>329</v>
      </c>
      <c r="I27" s="9" t="s">
        <v>373</v>
      </c>
      <c r="J27" s="9"/>
    </row>
    <row r="28" spans="2:10">
      <c r="B28" s="8" t="str">
        <f t="shared" si="3"/>
        <v>Gimmick_Unlock_Info_Type|20</v>
      </c>
      <c r="C28" s="9" t="s">
        <v>317</v>
      </c>
      <c r="D28" s="9" t="s">
        <v>390</v>
      </c>
      <c r="E28" s="9">
        <v>20</v>
      </c>
      <c r="F28" s="8" t="str">
        <f t="shared" si="1"/>
        <v>기믹 언락 안내 | ChainGate</v>
      </c>
      <c r="H28" s="9" t="s">
        <v>329</v>
      </c>
      <c r="I28" s="9" t="s">
        <v>374</v>
      </c>
      <c r="J28" s="9"/>
    </row>
    <row r="29" spans="2:10">
      <c r="B29" s="8" t="str">
        <f t="shared" si="3"/>
        <v>Gimmick_Unlock_Info_Type|21</v>
      </c>
      <c r="C29" s="9" t="s">
        <v>317</v>
      </c>
      <c r="D29" s="9" t="s">
        <v>391</v>
      </c>
      <c r="E29" s="9">
        <v>21</v>
      </c>
      <c r="F29" s="8" t="str">
        <f t="shared" si="1"/>
        <v>기믹 언락 안내 | GatekeyBlock</v>
      </c>
      <c r="H29" s="9" t="s">
        <v>329</v>
      </c>
      <c r="I29" s="9" t="s">
        <v>375</v>
      </c>
      <c r="J29" s="9"/>
    </row>
    <row r="30" spans="2:10">
      <c r="B30" s="8" t="str">
        <f t="shared" si="3"/>
        <v>Gimmick_Unlock_Info_Type|22</v>
      </c>
      <c r="C30" s="9" t="s">
        <v>317</v>
      </c>
      <c r="D30" s="9" t="s">
        <v>392</v>
      </c>
      <c r="E30" s="9">
        <v>22</v>
      </c>
      <c r="F30" s="8" t="str">
        <f t="shared" si="1"/>
        <v>기믹 언락 안내 | SizeChangingDoor</v>
      </c>
      <c r="H30" s="9" t="s">
        <v>329</v>
      </c>
      <c r="I30" s="9" t="s">
        <v>376</v>
      </c>
      <c r="J30" s="9"/>
    </row>
    <row r="31" spans="2:10">
      <c r="B31" s="8" t="str">
        <f t="shared" si="3"/>
        <v>Gimmick_Unlock_Info_Type|23</v>
      </c>
      <c r="C31" s="9" t="s">
        <v>317</v>
      </c>
      <c r="D31" s="9" t="s">
        <v>393</v>
      </c>
      <c r="E31" s="9">
        <v>23</v>
      </c>
      <c r="F31" s="8" t="str">
        <f t="shared" si="1"/>
        <v>기믹 언락 안내 | CombinedLockedBlock</v>
      </c>
      <c r="H31" s="9" t="s">
        <v>329</v>
      </c>
      <c r="I31" s="9" t="s">
        <v>377</v>
      </c>
      <c r="J31" s="9"/>
    </row>
    <row r="32" spans="2:10">
      <c r="B32" s="8" t="str">
        <f t="shared" si="3"/>
        <v>Gimmick_Unlock_Info_Type|24</v>
      </c>
      <c r="C32" s="9" t="s">
        <v>317</v>
      </c>
      <c r="D32" s="9" t="s">
        <v>394</v>
      </c>
      <c r="E32" s="9">
        <v>24</v>
      </c>
      <c r="F32" s="8" t="str">
        <f t="shared" si="1"/>
        <v>기믹 언락 안내 | HiddenBlock</v>
      </c>
      <c r="H32" s="9" t="s">
        <v>329</v>
      </c>
      <c r="I32" s="9" t="s">
        <v>378</v>
      </c>
      <c r="J32" s="9"/>
    </row>
    <row r="33" spans="2:10">
      <c r="B33" s="8" t="str">
        <f t="shared" si="3"/>
        <v>Gimmick_Unlock_Info_Type|25</v>
      </c>
      <c r="C33" s="9" t="s">
        <v>317</v>
      </c>
      <c r="D33" s="9" t="s">
        <v>395</v>
      </c>
      <c r="E33" s="9">
        <v>25</v>
      </c>
      <c r="F33" s="8" t="str">
        <f t="shared" si="1"/>
        <v>기믹 언락 안내 | DynamiteBlock</v>
      </c>
      <c r="H33" s="9" t="s">
        <v>329</v>
      </c>
      <c r="I33" s="9" t="s">
        <v>379</v>
      </c>
      <c r="J33" s="9"/>
    </row>
    <row r="34" spans="2:10">
      <c r="B34" s="8" t="str">
        <f t="shared" si="3"/>
        <v>Gimmick_Unlock_Info_Type|26</v>
      </c>
      <c r="C34" s="9" t="s">
        <v>317</v>
      </c>
      <c r="D34" s="9" t="s">
        <v>396</v>
      </c>
      <c r="E34" s="9">
        <v>26</v>
      </c>
      <c r="F34" s="8" t="str">
        <f t="shared" si="1"/>
        <v>기믹 언락 안내 | CuratinBlock</v>
      </c>
      <c r="H34" s="9" t="s">
        <v>329</v>
      </c>
      <c r="I34" s="9" t="s">
        <v>380</v>
      </c>
      <c r="J34" s="9"/>
    </row>
    <row r="35" spans="2:10">
      <c r="B35" s="8" t="str">
        <f t="shared" si="3"/>
        <v>Gimmick_Unlock_Info_Type|27</v>
      </c>
      <c r="C35" s="9" t="s">
        <v>317</v>
      </c>
      <c r="D35" s="9" t="s">
        <v>397</v>
      </c>
      <c r="E35" s="9">
        <v>27</v>
      </c>
      <c r="F35" s="8" t="str">
        <f t="shared" si="1"/>
        <v>기믹 언락 안내 | MoveableCrate</v>
      </c>
      <c r="H35" s="9" t="s">
        <v>329</v>
      </c>
      <c r="I35" s="9" t="s">
        <v>381</v>
      </c>
      <c r="J35" s="9"/>
    </row>
    <row r="36" spans="2:10">
      <c r="B36" s="8" t="str">
        <f t="shared" si="3"/>
        <v>Gimmick_Unlock_Info_Type|28</v>
      </c>
      <c r="C36" s="9" t="s">
        <v>317</v>
      </c>
      <c r="D36" s="9" t="s">
        <v>398</v>
      </c>
      <c r="E36" s="9">
        <v>28</v>
      </c>
      <c r="F36" s="8" t="str">
        <f t="shared" si="1"/>
        <v>기믹 언락 안내 | ColorSwitchingDoor</v>
      </c>
      <c r="H36" s="9" t="s">
        <v>329</v>
      </c>
      <c r="I36" s="9" t="s">
        <v>382</v>
      </c>
      <c r="J36" s="9"/>
    </row>
    <row r="37" spans="2:10">
      <c r="B37" s="8" t="str">
        <f t="shared" si="3"/>
        <v>Gimmick_Unlock_Info_Type|29</v>
      </c>
      <c r="C37" s="9" t="s">
        <v>317</v>
      </c>
      <c r="D37" s="9" t="s">
        <v>399</v>
      </c>
      <c r="E37" s="9">
        <v>29</v>
      </c>
      <c r="F37" s="8" t="str">
        <f t="shared" si="1"/>
        <v>기믹 언락 안내 | TimeCapsuleBlock</v>
      </c>
      <c r="H37" s="9" t="s">
        <v>329</v>
      </c>
      <c r="I37" s="9" t="s">
        <v>383</v>
      </c>
      <c r="J37" s="9"/>
    </row>
    <row r="38" spans="2:10">
      <c r="B38" s="8" t="str">
        <f t="shared" si="3"/>
        <v>Gimmick_Unlock_Info_Type|30</v>
      </c>
      <c r="C38" s="9" t="s">
        <v>317</v>
      </c>
      <c r="D38" s="9" t="s">
        <v>400</v>
      </c>
      <c r="E38" s="9">
        <v>30</v>
      </c>
      <c r="F38" s="8" t="str">
        <f t="shared" si="1"/>
        <v>기믹 언락 안내 | ColorSwitchingBlock</v>
      </c>
      <c r="H38" s="9" t="s">
        <v>329</v>
      </c>
      <c r="I38" s="9" t="s">
        <v>384</v>
      </c>
      <c r="J38" s="9"/>
    </row>
    <row r="39" spans="2:10">
      <c r="B39" s="8" t="str">
        <f t="shared" si="3"/>
        <v>Gimmick_Unlock_Info_Type|31</v>
      </c>
      <c r="C39" s="9" t="s">
        <v>317</v>
      </c>
      <c r="D39" s="9" t="s">
        <v>401</v>
      </c>
      <c r="E39" s="9">
        <v>31</v>
      </c>
      <c r="F39" s="8" t="str">
        <f t="shared" si="1"/>
        <v>기믹 언락 안내 | JumpingSingleDoor</v>
      </c>
      <c r="H39" s="9" t="s">
        <v>329</v>
      </c>
      <c r="I39" s="9" t="s">
        <v>385</v>
      </c>
      <c r="J39" s="9"/>
    </row>
    <row r="40" spans="2:10">
      <c r="B40" s="8" t="str">
        <f t="shared" si="3"/>
        <v>Gimmick_Unlock_Info_Category|0</v>
      </c>
      <c r="C40" s="9" t="s">
        <v>350</v>
      </c>
      <c r="D40" s="9" t="s">
        <v>345</v>
      </c>
      <c r="E40" s="9">
        <v>0</v>
      </c>
      <c r="F40" s="8" t="str">
        <f t="shared" ref="F40:F43" si="4">IF(H40="", "", H40&amp;IF(I40="", "", " | "&amp;I40)&amp;IF(J71="", "", " | "&amp;J71))</f>
        <v>기믹 카테고리 | None</v>
      </c>
      <c r="H40" s="9" t="s">
        <v>346</v>
      </c>
      <c r="I40" s="9" t="s">
        <v>345</v>
      </c>
      <c r="J40" s="9"/>
    </row>
    <row r="41" spans="2:10">
      <c r="B41" s="8" t="str">
        <f t="shared" si="3"/>
        <v>Gimmick_Unlock_Info_Category|1</v>
      </c>
      <c r="C41" s="9" t="s">
        <v>350</v>
      </c>
      <c r="D41" s="9" t="s">
        <v>342</v>
      </c>
      <c r="E41" s="9">
        <v>1</v>
      </c>
      <c r="F41" s="8" t="str">
        <f t="shared" si="4"/>
        <v>기믹 카테고리 | 타일</v>
      </c>
      <c r="H41" s="9" t="s">
        <v>346</v>
      </c>
      <c r="I41" s="9" t="s">
        <v>347</v>
      </c>
      <c r="J41" s="9"/>
    </row>
    <row r="42" spans="2:10">
      <c r="B42" s="8" t="str">
        <f t="shared" si="3"/>
        <v>Gimmick_Unlock_Info_Category|2</v>
      </c>
      <c r="C42" s="9" t="s">
        <v>350</v>
      </c>
      <c r="D42" s="9" t="s">
        <v>343</v>
      </c>
      <c r="E42" s="9">
        <v>2</v>
      </c>
      <c r="F42" s="8" t="str">
        <f t="shared" si="4"/>
        <v>기믹 카테고리 | 블록</v>
      </c>
      <c r="H42" s="9" t="s">
        <v>346</v>
      </c>
      <c r="I42" s="9" t="s">
        <v>348</v>
      </c>
      <c r="J42" s="9"/>
    </row>
    <row r="43" spans="2:10">
      <c r="B43" s="8" t="str">
        <f t="shared" si="3"/>
        <v>Gimmick_Unlock_Info_Category|3</v>
      </c>
      <c r="C43" s="9" t="s">
        <v>350</v>
      </c>
      <c r="D43" s="9" t="s">
        <v>344</v>
      </c>
      <c r="E43" s="9">
        <v>3</v>
      </c>
      <c r="F43" s="8" t="str">
        <f t="shared" si="4"/>
        <v>기믹 카테고리 | 게이트</v>
      </c>
      <c r="H43" s="9" t="s">
        <v>346</v>
      </c>
      <c r="I43" s="9" t="s">
        <v>349</v>
      </c>
      <c r="J43" s="9"/>
    </row>
    <row r="44" spans="2:10">
      <c r="B44" s="8"/>
      <c r="C44" s="9"/>
      <c r="D44" s="9"/>
      <c r="E44" s="9"/>
      <c r="F44" s="8"/>
      <c r="H44" s="9"/>
      <c r="I44" s="9"/>
      <c r="J44" s="9"/>
    </row>
    <row r="45" spans="2:10" ht="10.5" customHeight="1">
      <c r="B45" s="8"/>
      <c r="C45" s="9"/>
      <c r="D45" s="9"/>
      <c r="E45" s="9"/>
      <c r="F45" s="8"/>
      <c r="H45" s="9"/>
      <c r="I45" s="9"/>
      <c r="J45" s="9"/>
    </row>
    <row r="46" spans="2:10" ht="10.5" customHeight="1">
      <c r="B46" s="8"/>
      <c r="C46" s="9"/>
      <c r="D46" s="9"/>
      <c r="E46" s="9"/>
      <c r="F46" s="8"/>
      <c r="H46" s="9"/>
      <c r="I46" s="9"/>
      <c r="J46" s="9"/>
    </row>
    <row r="47" spans="2:10" ht="10.5" customHeight="1">
      <c r="B47" s="8"/>
      <c r="C47" s="9"/>
      <c r="D47" s="9"/>
      <c r="E47" s="9"/>
      <c r="F47" s="8"/>
      <c r="H47" s="9"/>
      <c r="I47" s="9"/>
      <c r="J47" s="9"/>
    </row>
    <row r="48" spans="2:10" ht="10.5" customHeight="1">
      <c r="B48" s="8"/>
      <c r="C48" s="9"/>
      <c r="D48" s="9"/>
      <c r="E48" s="9"/>
      <c r="F48" s="8"/>
      <c r="H48" s="9"/>
      <c r="I48" s="9"/>
      <c r="J48" s="9"/>
    </row>
    <row r="49" spans="2:10" ht="10.5" customHeight="1">
      <c r="B49" s="8"/>
      <c r="C49" s="9"/>
      <c r="D49" s="9"/>
      <c r="E49" s="9"/>
      <c r="F49" s="8"/>
      <c r="H49" s="9"/>
      <c r="I49" s="9"/>
      <c r="J49" s="9"/>
    </row>
    <row r="50" spans="2:10" ht="10.5" customHeight="1">
      <c r="B50" s="8"/>
      <c r="C50" s="9"/>
      <c r="D50" s="9"/>
      <c r="E50" s="9"/>
      <c r="F50" s="8"/>
      <c r="H50" s="9"/>
      <c r="I50" s="9"/>
      <c r="J50" s="9"/>
    </row>
    <row r="51" spans="2:10" ht="10.5" customHeight="1">
      <c r="B51" s="8"/>
      <c r="C51" s="9"/>
      <c r="D51" s="9"/>
      <c r="E51" s="9"/>
      <c r="F51" s="8"/>
      <c r="H51" s="9"/>
      <c r="I51" s="9"/>
      <c r="J51" s="9"/>
    </row>
    <row r="52" spans="2:10" ht="10.5" customHeight="1">
      <c r="B52" s="8"/>
      <c r="C52" s="9"/>
      <c r="D52" s="9"/>
      <c r="E52" s="9"/>
      <c r="F52" s="8"/>
      <c r="H52" s="9"/>
      <c r="I52" s="9"/>
      <c r="J52" s="9"/>
    </row>
    <row r="53" spans="2:10" ht="10.5" customHeight="1">
      <c r="B53" s="8"/>
      <c r="C53" s="9"/>
      <c r="D53" s="9"/>
      <c r="E53" s="9"/>
      <c r="F53" s="8"/>
      <c r="H53" s="9"/>
      <c r="I53" s="9"/>
      <c r="J53" s="9"/>
    </row>
    <row r="54" spans="2:10" ht="10.5" customHeight="1">
      <c r="B54" s="8"/>
      <c r="C54" s="9"/>
      <c r="D54" s="9"/>
      <c r="E54" s="9"/>
      <c r="F54" s="8"/>
      <c r="H54" s="9"/>
      <c r="I54" s="9"/>
      <c r="J54" s="9"/>
    </row>
    <row r="55" spans="2:10" ht="10.5" customHeight="1">
      <c r="B55" s="8"/>
      <c r="C55" s="9"/>
      <c r="D55" s="9"/>
      <c r="E55" s="9"/>
      <c r="F55" s="8"/>
      <c r="H55" s="9"/>
      <c r="I55" s="9"/>
      <c r="J55" s="9"/>
    </row>
    <row r="56" spans="2:10" ht="10.5" customHeight="1">
      <c r="B56" s="8"/>
      <c r="C56" s="9"/>
      <c r="D56" s="9"/>
      <c r="E56" s="9"/>
      <c r="F56" s="8"/>
      <c r="H56" s="9"/>
      <c r="I56" s="9"/>
      <c r="J56" s="9"/>
    </row>
    <row r="57" spans="2:10" ht="10.5" customHeight="1">
      <c r="B57" s="8"/>
      <c r="C57" s="9"/>
      <c r="D57" s="9"/>
      <c r="E57" s="9"/>
      <c r="F57" s="8"/>
      <c r="H57" s="9"/>
      <c r="I57" s="9"/>
      <c r="J57" s="9"/>
    </row>
    <row r="58" spans="2:10" ht="10.5" customHeight="1">
      <c r="B58" s="8"/>
      <c r="C58" s="9"/>
      <c r="D58" s="9"/>
      <c r="E58" s="9"/>
      <c r="F58" s="8"/>
      <c r="H58" s="9"/>
      <c r="I58" s="9"/>
      <c r="J58" s="9"/>
    </row>
    <row r="59" spans="2:10" ht="10.5" customHeight="1">
      <c r="B59" s="8"/>
      <c r="C59" s="9"/>
      <c r="D59" s="9"/>
      <c r="E59" s="9"/>
      <c r="F59" s="8"/>
      <c r="H59" s="9"/>
      <c r="I59" s="9"/>
      <c r="J59" s="9"/>
    </row>
    <row r="60" spans="2:10" ht="10.5" customHeight="1">
      <c r="B60" s="8"/>
      <c r="C60" s="9"/>
      <c r="D60" s="9"/>
      <c r="E60" s="9"/>
      <c r="F60" s="8"/>
      <c r="H60" s="9"/>
      <c r="I60" s="9"/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B63" s="8"/>
      <c r="C63" s="9"/>
      <c r="D63" s="9"/>
      <c r="E63" s="9"/>
      <c r="F63" s="8"/>
      <c r="H63" s="9"/>
      <c r="I63" s="9"/>
      <c r="J63" s="9"/>
    </row>
    <row r="64" spans="2:10" ht="10.5" customHeight="1">
      <c r="B64" s="8"/>
      <c r="C64" s="9"/>
      <c r="D64" s="9"/>
      <c r="E64" s="9"/>
      <c r="F64" s="8"/>
      <c r="H64" s="9"/>
      <c r="I64" s="9"/>
      <c r="J64" s="9"/>
    </row>
    <row r="65" spans="10:10" ht="10.5" customHeight="1">
      <c r="J65" s="9"/>
    </row>
    <row r="66" spans="10:10" ht="10.5" customHeight="1">
      <c r="J66" s="9"/>
    </row>
    <row r="67" spans="10:10" ht="10.5" customHeight="1">
      <c r="J67" s="9"/>
    </row>
    <row r="68" spans="10:10" ht="10.5" customHeight="1">
      <c r="J68" s="9"/>
    </row>
    <row r="69" spans="10:10" ht="10.5" customHeight="1">
      <c r="J69" s="9"/>
    </row>
    <row r="70" spans="10:10" ht="10.5" customHeight="1">
      <c r="J70" s="9"/>
    </row>
    <row r="71" spans="10:10" ht="10.5" customHeight="1">
      <c r="J71" s="9"/>
    </row>
    <row r="72" spans="10:10" ht="10.5" customHeight="1">
      <c r="J72" s="9"/>
    </row>
    <row r="73" spans="10:10" ht="10.5" customHeight="1">
      <c r="J73" s="9"/>
    </row>
    <row r="74" spans="10:10" ht="10.5" customHeight="1">
      <c r="J74" s="9"/>
    </row>
    <row r="75" spans="10:10" ht="10.5" customHeight="1">
      <c r="J75" s="9"/>
    </row>
    <row r="76" spans="10:10" ht="10.5" customHeight="1">
      <c r="J76" s="9"/>
    </row>
    <row r="77" spans="10:10" ht="10.5" customHeight="1">
      <c r="J77" s="9"/>
    </row>
    <row r="78" spans="10:10" ht="10.5" customHeight="1">
      <c r="J78" s="9"/>
    </row>
    <row r="79" spans="10:10" ht="10.5" customHeight="1">
      <c r="J79" s="9"/>
    </row>
    <row r="80" spans="10:10" ht="10.5" customHeight="1">
      <c r="J80" s="9"/>
    </row>
    <row r="81" spans="2:10" ht="10.5" customHeight="1">
      <c r="J81" s="9"/>
    </row>
    <row r="82" spans="2:10" ht="10.5" customHeight="1">
      <c r="J82" s="9"/>
    </row>
    <row r="83" spans="2:10" ht="10.5" customHeight="1">
      <c r="J83" s="9"/>
    </row>
    <row r="84" spans="2:10" ht="10.5" customHeight="1">
      <c r="J84" s="9"/>
    </row>
    <row r="85" spans="2:10" ht="10.5" customHeight="1">
      <c r="B85" s="8"/>
      <c r="C85" s="9"/>
      <c r="D85" s="9"/>
      <c r="E85" s="9"/>
      <c r="F85" s="8"/>
      <c r="H85" s="9"/>
      <c r="I85" s="9"/>
      <c r="J85" s="9"/>
    </row>
    <row r="86" spans="2:10" ht="10.5" customHeight="1">
      <c r="B86" s="8"/>
      <c r="C86" s="9"/>
      <c r="D86" s="9"/>
      <c r="E86" s="9"/>
      <c r="F86" s="8"/>
      <c r="H86" s="9"/>
      <c r="I86" s="9"/>
      <c r="J86" s="9"/>
    </row>
    <row r="87" spans="2:10" ht="10.5" customHeight="1">
      <c r="J87" s="9"/>
    </row>
    <row r="88" spans="2:10" ht="10.5" customHeight="1">
      <c r="J88" s="9"/>
    </row>
    <row r="89" spans="2:10" ht="10.5" customHeight="1">
      <c r="J89" s="9"/>
    </row>
    <row r="90" spans="2:10" ht="10.5" customHeight="1">
      <c r="J90" s="9"/>
    </row>
    <row r="91" spans="2:10" ht="10.5" customHeight="1">
      <c r="J91" s="9"/>
    </row>
    <row r="92" spans="2:10" ht="10.5" customHeight="1">
      <c r="J92" s="9"/>
    </row>
    <row r="93" spans="2:10" ht="10.5" customHeight="1">
      <c r="J93" s="9"/>
    </row>
    <row r="94" spans="2:10" ht="10.5" customHeight="1">
      <c r="J94" s="9"/>
    </row>
    <row r="95" spans="2:10" ht="10.5" customHeight="1">
      <c r="J95" s="9"/>
    </row>
    <row r="96" spans="2:10" ht="10.5" customHeight="1">
      <c r="J96" s="9"/>
    </row>
    <row r="97" spans="10:10" ht="10.5" customHeight="1">
      <c r="J97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1117-C7B7-6E40-9B68-ABE507311A56}">
  <dimension ref="A2:J216"/>
  <sheetViews>
    <sheetView zoomScale="115" zoomScaleNormal="115" workbookViewId="0">
      <pane xSplit="2" ySplit="4" topLeftCell="C110" activePane="bottomRight" state="frozen"/>
      <selection pane="topRight" activeCell="C1" sqref="C1"/>
      <selection pane="bottomLeft" activeCell="A5" sqref="A5"/>
      <selection pane="bottomRight" activeCell="D145" sqref="D145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86" si="0">C5&amp;"|"&amp;E5</f>
        <v>UnitType|0</v>
      </c>
      <c r="C5" s="9" t="s">
        <v>57</v>
      </c>
      <c r="D5" s="9" t="s">
        <v>94</v>
      </c>
      <c r="E5" s="9">
        <v>0</v>
      </c>
      <c r="F5" s="8" t="str">
        <f t="shared" ref="F5:F14" si="1">IF(H5="", "", H5&amp;IF(I5="", "", " | "&amp;I5)&amp;IF(J36="", "", " | "&amp;J36))</f>
        <v>유닛타입 | 탈것</v>
      </c>
      <c r="H5" s="9" t="s">
        <v>58</v>
      </c>
      <c r="I5" s="9" t="s">
        <v>95</v>
      </c>
      <c r="J5" s="9"/>
    </row>
    <row r="6" spans="1:10">
      <c r="B6" s="8" t="str">
        <f t="shared" si="0"/>
        <v>UnitType|1</v>
      </c>
      <c r="C6" s="9" t="s">
        <v>57</v>
      </c>
      <c r="D6" s="9" t="s">
        <v>59</v>
      </c>
      <c r="E6" s="9">
        <v>1</v>
      </c>
      <c r="F6" s="8" t="str">
        <f t="shared" si="1"/>
        <v>유닛타입 | 투구</v>
      </c>
      <c r="H6" s="9" t="s">
        <v>58</v>
      </c>
      <c r="I6" s="9" t="s">
        <v>61</v>
      </c>
      <c r="J6" s="9"/>
    </row>
    <row r="7" spans="1:10">
      <c r="B7" s="8" t="str">
        <f t="shared" si="0"/>
        <v>UnitType|2</v>
      </c>
      <c r="C7" s="9" t="s">
        <v>57</v>
      </c>
      <c r="D7" s="9" t="s">
        <v>60</v>
      </c>
      <c r="E7" s="9">
        <v>2</v>
      </c>
      <c r="F7" s="8" t="str">
        <f t="shared" si="1"/>
        <v>유닛타입 | 엘리트</v>
      </c>
      <c r="H7" s="9" t="s">
        <v>58</v>
      </c>
      <c r="I7" s="9" t="s">
        <v>85</v>
      </c>
      <c r="J7" s="9"/>
    </row>
    <row r="8" spans="1:10">
      <c r="B8" s="8" t="str">
        <f t="shared" si="0"/>
        <v>UnitType|3</v>
      </c>
      <c r="C8" s="9" t="s">
        <v>57</v>
      </c>
      <c r="D8" s="9" t="s">
        <v>84</v>
      </c>
      <c r="E8" s="9">
        <v>3</v>
      </c>
      <c r="F8" s="8" t="str">
        <f t="shared" si="1"/>
        <v>유닛타입 | 보스</v>
      </c>
      <c r="H8" s="9" t="s">
        <v>58</v>
      </c>
      <c r="I8" s="9" t="s">
        <v>62</v>
      </c>
      <c r="J8" s="9"/>
    </row>
    <row r="9" spans="1:10">
      <c r="B9" s="8" t="str">
        <f t="shared" si="0"/>
        <v>UnitType|4</v>
      </c>
      <c r="C9" s="9" t="s">
        <v>57</v>
      </c>
      <c r="D9" s="9" t="s">
        <v>96</v>
      </c>
      <c r="E9" s="9">
        <v>4</v>
      </c>
      <c r="F9" s="8" t="str">
        <f t="shared" si="1"/>
        <v>유닛타입 | 보너스</v>
      </c>
      <c r="H9" s="9" t="s">
        <v>58</v>
      </c>
      <c r="I9" s="9" t="s">
        <v>97</v>
      </c>
      <c r="J9" s="9"/>
    </row>
    <row r="10" spans="1:10">
      <c r="B10" s="8" t="str">
        <f t="shared" si="0"/>
        <v>Stage_Reward_Type|0</v>
      </c>
      <c r="C10" s="9" t="s">
        <v>132</v>
      </c>
      <c r="D10" s="9" t="s">
        <v>63</v>
      </c>
      <c r="E10" s="9">
        <v>0</v>
      </c>
      <c r="F10" s="8" t="str">
        <f t="shared" si="1"/>
        <v>스테이지보상 | 코인</v>
      </c>
      <c r="H10" s="9" t="s">
        <v>102</v>
      </c>
      <c r="I10" s="9" t="s">
        <v>64</v>
      </c>
      <c r="J10" s="9"/>
    </row>
    <row r="11" spans="1:10">
      <c r="B11" s="8" t="str">
        <f t="shared" si="0"/>
        <v>Stage_Reward_Type|11</v>
      </c>
      <c r="C11" s="9" t="s">
        <v>132</v>
      </c>
      <c r="D11" s="9" t="s">
        <v>107</v>
      </c>
      <c r="E11" s="9">
        <v>11</v>
      </c>
      <c r="F11" s="8" t="str">
        <f t="shared" si="1"/>
        <v>스테이지보상 | 아이템1</v>
      </c>
      <c r="H11" s="9" t="s">
        <v>102</v>
      </c>
      <c r="I11" s="9" t="s">
        <v>103</v>
      </c>
      <c r="J11" s="9"/>
    </row>
    <row r="12" spans="1:10">
      <c r="B12" s="8" t="str">
        <f t="shared" si="0"/>
        <v>Stage_Reward_Type|12</v>
      </c>
      <c r="C12" s="9" t="s">
        <v>132</v>
      </c>
      <c r="D12" s="9" t="s">
        <v>108</v>
      </c>
      <c r="E12" s="9">
        <v>12</v>
      </c>
      <c r="F12" s="8" t="str">
        <f t="shared" si="1"/>
        <v>스테이지보상 | 아이템2</v>
      </c>
      <c r="H12" s="9" t="s">
        <v>102</v>
      </c>
      <c r="I12" s="9" t="s">
        <v>104</v>
      </c>
      <c r="J12" s="9"/>
    </row>
    <row r="13" spans="1:10">
      <c r="B13" s="8" t="str">
        <f t="shared" si="0"/>
        <v>Stage_Reward_Type|13</v>
      </c>
      <c r="C13" s="9" t="s">
        <v>132</v>
      </c>
      <c r="D13" s="9" t="s">
        <v>109</v>
      </c>
      <c r="E13" s="9">
        <v>13</v>
      </c>
      <c r="F13" s="8" t="str">
        <f t="shared" si="1"/>
        <v>스테이지보상 | 아이템3</v>
      </c>
      <c r="H13" s="9" t="s">
        <v>102</v>
      </c>
      <c r="I13" s="9" t="s">
        <v>105</v>
      </c>
      <c r="J13" s="9"/>
    </row>
    <row r="14" spans="1:10">
      <c r="B14" s="8" t="str">
        <f t="shared" si="0"/>
        <v>Stage_Reward_Type|101</v>
      </c>
      <c r="C14" s="9" t="s">
        <v>132</v>
      </c>
      <c r="D14" s="9" t="s">
        <v>110</v>
      </c>
      <c r="E14" s="9">
        <v>101</v>
      </c>
      <c r="F14" s="8" t="str">
        <f t="shared" si="1"/>
        <v>스테이지보상 | 랭킹모드 게임시간증가</v>
      </c>
      <c r="H14" s="9" t="s">
        <v>102</v>
      </c>
      <c r="I14" s="9" t="s">
        <v>106</v>
      </c>
      <c r="J14" s="9"/>
    </row>
    <row r="15" spans="1:10">
      <c r="B15" s="8" t="str">
        <f t="shared" si="0"/>
        <v>Stage_Type|0</v>
      </c>
      <c r="C15" s="9" t="s">
        <v>131</v>
      </c>
      <c r="D15" s="9" t="s">
        <v>100</v>
      </c>
      <c r="E15" s="9">
        <v>0</v>
      </c>
      <c r="F15" s="8" t="str">
        <f t="shared" ref="F15:F22" si="2">IF(H15="", "", H15&amp;IF(I15="", "", " | "&amp;I15)&amp;IF(J57="", "", " | "&amp;J57))</f>
        <v>스테이지타입 | 일반</v>
      </c>
      <c r="H15" s="9" t="s">
        <v>98</v>
      </c>
      <c r="I15" s="9" t="s">
        <v>99</v>
      </c>
      <c r="J15" s="9"/>
    </row>
    <row r="16" spans="1:10">
      <c r="B16" s="8" t="str">
        <f t="shared" si="0"/>
        <v>Stage_Type|1</v>
      </c>
      <c r="C16" s="9" t="s">
        <v>131</v>
      </c>
      <c r="D16" s="9" t="s">
        <v>129</v>
      </c>
      <c r="E16" s="9">
        <v>1</v>
      </c>
      <c r="F16" s="8" t="str">
        <f t="shared" si="2"/>
        <v>스테이지타입 | 랭킹</v>
      </c>
      <c r="H16" s="9" t="s">
        <v>98</v>
      </c>
      <c r="I16" s="9" t="s">
        <v>101</v>
      </c>
      <c r="J16" s="9"/>
    </row>
    <row r="17" spans="2:10">
      <c r="B17" s="8" t="str">
        <f t="shared" si="0"/>
        <v>Rank_Score_Type|0</v>
      </c>
      <c r="C17" s="9" t="s">
        <v>130</v>
      </c>
      <c r="D17" s="9" t="s">
        <v>41</v>
      </c>
      <c r="E17" s="9">
        <v>0</v>
      </c>
      <c r="F17" s="8" t="str">
        <f t="shared" si="2"/>
        <v>랭크스코어타입 | 없음</v>
      </c>
      <c r="H17" s="9" t="s">
        <v>123</v>
      </c>
      <c r="I17" s="9" t="s">
        <v>27</v>
      </c>
      <c r="J17" s="9"/>
    </row>
    <row r="18" spans="2:10">
      <c r="B18" s="8" t="str">
        <f t="shared" si="0"/>
        <v>Rank_Score_Type|1</v>
      </c>
      <c r="C18" s="9" t="s">
        <v>130</v>
      </c>
      <c r="D18" s="9" t="s">
        <v>128</v>
      </c>
      <c r="E18" s="9">
        <v>1</v>
      </c>
      <c r="F18" s="8" t="str">
        <f t="shared" si="2"/>
        <v>랭크스코어타입 | 일반적 처치</v>
      </c>
      <c r="H18" s="9" t="s">
        <v>123</v>
      </c>
      <c r="I18" s="9" t="s">
        <v>127</v>
      </c>
      <c r="J18" s="9"/>
    </row>
    <row r="19" spans="2:10">
      <c r="B19" s="8" t="str">
        <f t="shared" si="0"/>
        <v>Rank_Score_Type|2</v>
      </c>
      <c r="C19" s="9" t="s">
        <v>130</v>
      </c>
      <c r="D19" s="9" t="s">
        <v>126</v>
      </c>
      <c r="E19" s="9">
        <v>2</v>
      </c>
      <c r="F19" s="8" t="str">
        <f t="shared" si="2"/>
        <v>랭크스코어타입 | 엘리트 처치</v>
      </c>
      <c r="H19" s="9" t="s">
        <v>123</v>
      </c>
      <c r="I19" s="9" t="s">
        <v>125</v>
      </c>
      <c r="J19" s="9"/>
    </row>
    <row r="20" spans="2:10">
      <c r="B20" s="8" t="str">
        <f t="shared" si="0"/>
        <v>Rank_Score_Type|3</v>
      </c>
      <c r="C20" s="9" t="s">
        <v>130</v>
      </c>
      <c r="D20" s="9" t="s">
        <v>124</v>
      </c>
      <c r="E20" s="9">
        <v>3</v>
      </c>
      <c r="F20" s="8" t="str">
        <f t="shared" si="2"/>
        <v>랭크스코어타입 | 보스 처치</v>
      </c>
      <c r="H20" s="9" t="s">
        <v>123</v>
      </c>
      <c r="I20" s="9" t="s">
        <v>122</v>
      </c>
      <c r="J20" s="9"/>
    </row>
    <row r="21" spans="2:10">
      <c r="B21" s="8" t="str">
        <f t="shared" si="0"/>
        <v>Rank_Score_Type|4</v>
      </c>
      <c r="C21" s="9" t="s">
        <v>130</v>
      </c>
      <c r="D21" s="9" t="s">
        <v>121</v>
      </c>
      <c r="E21" s="9">
        <v>4</v>
      </c>
      <c r="F21" s="8" t="str">
        <f t="shared" si="2"/>
        <v>랭크스코어타입 | 즙몬스터 생존</v>
      </c>
      <c r="H21" s="9" t="s">
        <v>118</v>
      </c>
      <c r="I21" s="9" t="s">
        <v>120</v>
      </c>
      <c r="J21" s="9"/>
    </row>
    <row r="22" spans="2:10">
      <c r="B22" s="8" t="str">
        <f t="shared" si="0"/>
        <v>Rank_Score_Type|5</v>
      </c>
      <c r="C22" s="9" t="s">
        <v>130</v>
      </c>
      <c r="D22" s="9" t="s">
        <v>119</v>
      </c>
      <c r="E22" s="9">
        <v>5</v>
      </c>
      <c r="F22" s="8" t="str">
        <f t="shared" si="2"/>
        <v>랭크스코어타입 | 타워 생존</v>
      </c>
      <c r="H22" s="9" t="s">
        <v>118</v>
      </c>
      <c r="I22" s="9" t="s">
        <v>117</v>
      </c>
      <c r="J22" s="9"/>
    </row>
    <row r="23" spans="2:10">
      <c r="B23" s="8" t="str">
        <f t="shared" si="0"/>
        <v>Event_Trigger_Type|0</v>
      </c>
      <c r="C23" s="9" t="s">
        <v>133</v>
      </c>
      <c r="D23" s="9" t="s">
        <v>143</v>
      </c>
      <c r="E23" s="9">
        <v>0</v>
      </c>
      <c r="F23" s="8" t="str">
        <f>IF(H23="", "", H23&amp;IF(I23="", "", " | "&amp;I23)&amp;IF(J69="", "", " | "&amp;J69))</f>
        <v>이벤트트리거타입 | 스테이지입장</v>
      </c>
      <c r="H23" s="9" t="s">
        <v>134</v>
      </c>
      <c r="I23" s="9" t="s">
        <v>135</v>
      </c>
      <c r="J23" s="9"/>
    </row>
    <row r="24" spans="2:10">
      <c r="B24" s="8" t="str">
        <f t="shared" si="0"/>
        <v>Event_Trigger_Type|1</v>
      </c>
      <c r="C24" s="9" t="s">
        <v>133</v>
      </c>
      <c r="D24" s="9" t="s">
        <v>144</v>
      </c>
      <c r="E24" s="9">
        <v>1</v>
      </c>
      <c r="F24" s="8" t="str">
        <f>IF(H24="", "", H24&amp;IF(I24="", "", " | "&amp;I24)&amp;IF(J70="", "", " | "&amp;J70))</f>
        <v>이벤트트리거타입 | 스테이지시작</v>
      </c>
      <c r="H24" s="9" t="s">
        <v>134</v>
      </c>
      <c r="I24" s="9" t="s">
        <v>137</v>
      </c>
      <c r="J24" s="9"/>
    </row>
    <row r="25" spans="2:10">
      <c r="B25" s="8" t="str">
        <f t="shared" si="0"/>
        <v>Event_Trigger_Type|2</v>
      </c>
      <c r="C25" s="9" t="s">
        <v>133</v>
      </c>
      <c r="D25" s="9" t="s">
        <v>145</v>
      </c>
      <c r="E25" s="9">
        <v>2</v>
      </c>
      <c r="F25" s="8" t="str">
        <f>IF(H25="", "", H25&amp;IF(I25="", "", " | "&amp;I25)&amp;IF(J71="", "", " | "&amp;J71))</f>
        <v>이벤트트리거타입 | 스테이지종료</v>
      </c>
      <c r="H25" s="9" t="s">
        <v>134</v>
      </c>
      <c r="I25" s="9" t="s">
        <v>136</v>
      </c>
      <c r="J25" s="9"/>
    </row>
    <row r="26" spans="2:10">
      <c r="B26" s="8" t="str">
        <f t="shared" si="0"/>
        <v>Event_Trigger_Type|3</v>
      </c>
      <c r="C26" s="9" t="s">
        <v>133</v>
      </c>
      <c r="D26" s="9" t="s">
        <v>146</v>
      </c>
      <c r="E26" s="9">
        <v>3</v>
      </c>
      <c r="F26" s="8" t="str">
        <f>IF(H26="", "", H26&amp;IF(I26="", "", " | "&amp;I26)&amp;IF(J72="", "", " | "&amp;J72))</f>
        <v>이벤트트리거타입 | 스테이지종료</v>
      </c>
      <c r="H26" s="9" t="s">
        <v>134</v>
      </c>
      <c r="I26" s="9" t="s">
        <v>136</v>
      </c>
      <c r="J26" s="9"/>
    </row>
    <row r="27" spans="2:10" ht="10.5" customHeight="1">
      <c r="B27" s="8" t="str">
        <f t="shared" si="0"/>
        <v>Action_Type|0</v>
      </c>
      <c r="C27" s="9" t="s">
        <v>138</v>
      </c>
      <c r="D27" s="9" t="s">
        <v>41</v>
      </c>
      <c r="E27" s="9">
        <v>0</v>
      </c>
      <c r="F27" s="8" t="str">
        <f t="shared" ref="F27:F36" si="3">IF(H27="", "", H27&amp;IF(I27="", "", " | "&amp;I27)&amp;IF(J74="", "", " | "&amp;J74))</f>
        <v>액션타입 | None</v>
      </c>
      <c r="H27" s="9" t="s">
        <v>139</v>
      </c>
      <c r="I27" s="9" t="s">
        <v>41</v>
      </c>
      <c r="J27" s="9"/>
    </row>
    <row r="28" spans="2:10" ht="10.5" customHeight="1">
      <c r="B28" s="8" t="str">
        <f t="shared" si="0"/>
        <v>Action_Type|1</v>
      </c>
      <c r="C28" s="9" t="s">
        <v>138</v>
      </c>
      <c r="D28" s="9" t="s">
        <v>142</v>
      </c>
      <c r="E28" s="9">
        <v>1</v>
      </c>
      <c r="F28" s="8" t="str">
        <f t="shared" si="3"/>
        <v>액션차입 | 튜토리얼시작</v>
      </c>
      <c r="H28" s="9" t="s">
        <v>140</v>
      </c>
      <c r="I28" s="9" t="s">
        <v>141</v>
      </c>
      <c r="J28" s="9"/>
    </row>
    <row r="29" spans="2:10" ht="10.5" customHeight="1">
      <c r="B29" s="8" t="str">
        <f t="shared" si="0"/>
        <v>Difficulty_Type|1</v>
      </c>
      <c r="C29" s="9" t="s">
        <v>149</v>
      </c>
      <c r="D29" s="9" t="s">
        <v>100</v>
      </c>
      <c r="E29" s="9">
        <v>1</v>
      </c>
      <c r="F29" s="8" t="str">
        <f t="shared" si="3"/>
        <v>스테이지 난이도 | Normal</v>
      </c>
      <c r="H29" s="9" t="s">
        <v>152</v>
      </c>
      <c r="I29" s="9" t="s">
        <v>100</v>
      </c>
      <c r="J29" s="9"/>
    </row>
    <row r="30" spans="2:10" ht="10.5" customHeight="1">
      <c r="B30" s="8" t="str">
        <f t="shared" si="0"/>
        <v>Difficulty_Type|2</v>
      </c>
      <c r="C30" s="9" t="s">
        <v>149</v>
      </c>
      <c r="D30" s="9" t="s">
        <v>150</v>
      </c>
      <c r="E30" s="9">
        <v>2</v>
      </c>
      <c r="F30" s="8" t="str">
        <f t="shared" si="3"/>
        <v>스테이지 난이도 | Hard</v>
      </c>
      <c r="H30" s="9" t="s">
        <v>152</v>
      </c>
      <c r="I30" s="9" t="s">
        <v>150</v>
      </c>
      <c r="J30" s="9"/>
    </row>
    <row r="31" spans="2:10" ht="10.5" customHeight="1">
      <c r="B31" s="8" t="str">
        <f t="shared" si="0"/>
        <v>Difficulty_Type|3</v>
      </c>
      <c r="C31" s="9" t="s">
        <v>149</v>
      </c>
      <c r="D31" s="9" t="s">
        <v>151</v>
      </c>
      <c r="E31" s="9">
        <v>3</v>
      </c>
      <c r="F31" s="8" t="str">
        <f t="shared" si="3"/>
        <v>스테이지 난이도 | Very_Hard</v>
      </c>
      <c r="H31" s="9" t="s">
        <v>152</v>
      </c>
      <c r="I31" s="9" t="s">
        <v>151</v>
      </c>
      <c r="J31" s="9"/>
    </row>
    <row r="32" spans="2:10" ht="10.5" customHeight="1">
      <c r="B32" s="8" t="str">
        <f t="shared" si="0"/>
        <v>Gate_Type|0</v>
      </c>
      <c r="C32" s="9" t="s">
        <v>154</v>
      </c>
      <c r="D32" s="9" t="s">
        <v>100</v>
      </c>
      <c r="E32" s="9">
        <v>0</v>
      </c>
      <c r="F32" s="8" t="str">
        <f t="shared" si="3"/>
        <v>게이트 타입 | Normal</v>
      </c>
      <c r="H32" s="9" t="s">
        <v>156</v>
      </c>
      <c r="I32" s="9" t="s">
        <v>100</v>
      </c>
      <c r="J32" s="9"/>
    </row>
    <row r="33" spans="2:10" ht="10.5" customHeight="1">
      <c r="B33" s="8" t="str">
        <f t="shared" si="0"/>
        <v>Gate_Type|1</v>
      </c>
      <c r="C33" s="9" t="s">
        <v>154</v>
      </c>
      <c r="D33" s="9" t="s">
        <v>153</v>
      </c>
      <c r="E33" s="9">
        <v>1</v>
      </c>
      <c r="F33" s="8" t="str">
        <f t="shared" si="3"/>
        <v>게이트 타입 | StarGate</v>
      </c>
      <c r="H33" s="9" t="s">
        <v>156</v>
      </c>
      <c r="I33" s="9" t="s">
        <v>153</v>
      </c>
      <c r="J33" s="9"/>
    </row>
    <row r="34" spans="2:10" ht="10.5" customHeight="1">
      <c r="B34" s="8" t="str">
        <f t="shared" si="0"/>
        <v>Gate_Type|2</v>
      </c>
      <c r="C34" s="9" t="s">
        <v>154</v>
      </c>
      <c r="D34" s="9" t="s">
        <v>155</v>
      </c>
      <c r="E34" s="9">
        <v>2</v>
      </c>
      <c r="F34" s="8" t="str">
        <f t="shared" si="3"/>
        <v>게이트 타입 | Door</v>
      </c>
      <c r="H34" s="9" t="s">
        <v>156</v>
      </c>
      <c r="I34" s="9" t="s">
        <v>155</v>
      </c>
      <c r="J34" s="9"/>
    </row>
    <row r="35" spans="2:10" ht="10.5" customHeight="1">
      <c r="B35" s="8" t="str">
        <f t="shared" si="0"/>
        <v>Block_GimmickType|0</v>
      </c>
      <c r="C35" s="12" t="s">
        <v>308</v>
      </c>
      <c r="D35" s="12" t="s">
        <v>250</v>
      </c>
      <c r="E35" s="12">
        <v>0</v>
      </c>
      <c r="F35" s="8" t="str">
        <f t="shared" si="3"/>
        <v>블럭 기믹 타입 | Normal</v>
      </c>
      <c r="G35" s="12"/>
      <c r="H35" s="12" t="s">
        <v>170</v>
      </c>
      <c r="I35" s="12" t="s">
        <v>250</v>
      </c>
      <c r="J35" s="9"/>
    </row>
    <row r="36" spans="2:10" ht="10.5" customHeight="1">
      <c r="B36" s="8" t="str">
        <f t="shared" si="0"/>
        <v>Block_GimmickType|1</v>
      </c>
      <c r="C36" s="12" t="s">
        <v>169</v>
      </c>
      <c r="D36" s="12" t="s">
        <v>251</v>
      </c>
      <c r="E36" s="12">
        <v>1</v>
      </c>
      <c r="F36" s="8" t="str">
        <f t="shared" si="3"/>
        <v>블럭 기믹 타입 | Arrow</v>
      </c>
      <c r="G36" s="12"/>
      <c r="H36" s="12" t="s">
        <v>170</v>
      </c>
      <c r="I36" s="12" t="s">
        <v>251</v>
      </c>
      <c r="J36" s="9"/>
    </row>
    <row r="37" spans="2:10" ht="10.5" customHeight="1">
      <c r="B37" s="8" t="str">
        <f t="shared" si="0"/>
        <v>Block_GimmickType|2</v>
      </c>
      <c r="C37" s="12" t="s">
        <v>169</v>
      </c>
      <c r="D37" s="12" t="s">
        <v>252</v>
      </c>
      <c r="E37" s="12">
        <v>2</v>
      </c>
      <c r="F37" s="8" t="str">
        <f t="shared" ref="F37:F56" si="4">IF(H37="", "", H37&amp;IF(I37="", "", " | "&amp;I37)&amp;IF(J86="", "", " | "&amp;J86))</f>
        <v>블럭 기믹 타입 | Layer</v>
      </c>
      <c r="G37" s="12"/>
      <c r="H37" s="12" t="s">
        <v>170</v>
      </c>
      <c r="I37" s="12" t="s">
        <v>252</v>
      </c>
      <c r="J37" s="9"/>
    </row>
    <row r="38" spans="2:10" ht="10.5" customHeight="1">
      <c r="B38" s="8" t="str">
        <f t="shared" si="0"/>
        <v>Block_GimmickType|3</v>
      </c>
      <c r="C38" s="12" t="s">
        <v>169</v>
      </c>
      <c r="D38" s="12" t="s">
        <v>253</v>
      </c>
      <c r="E38" s="12">
        <v>3</v>
      </c>
      <c r="F38" s="8" t="str">
        <f t="shared" si="4"/>
        <v>블럭 기믹 타입 | Ice</v>
      </c>
      <c r="G38" s="12"/>
      <c r="H38" s="12" t="s">
        <v>170</v>
      </c>
      <c r="I38" s="12" t="s">
        <v>253</v>
      </c>
      <c r="J38" s="9"/>
    </row>
    <row r="39" spans="2:10" ht="10.5" customHeight="1">
      <c r="B39" s="8" t="str">
        <f t="shared" si="0"/>
        <v>Block_GimmickType|4</v>
      </c>
      <c r="C39" s="12" t="s">
        <v>169</v>
      </c>
      <c r="D39" s="12" t="s">
        <v>254</v>
      </c>
      <c r="E39" s="12">
        <v>4</v>
      </c>
      <c r="F39" s="8" t="str">
        <f t="shared" si="4"/>
        <v>블럭 기믹 타입 | Star</v>
      </c>
      <c r="G39" s="12"/>
      <c r="H39" s="12" t="s">
        <v>170</v>
      </c>
      <c r="I39" s="12" t="s">
        <v>254</v>
      </c>
      <c r="J39" s="9"/>
    </row>
    <row r="40" spans="2:10" ht="10.5" customHeight="1">
      <c r="B40" s="8" t="str">
        <f t="shared" si="0"/>
        <v>Block_GimmickType|5</v>
      </c>
      <c r="C40" s="12" t="s">
        <v>169</v>
      </c>
      <c r="D40" s="12" t="s">
        <v>255</v>
      </c>
      <c r="E40" s="12">
        <v>5</v>
      </c>
      <c r="F40" s="8" t="str">
        <f t="shared" si="4"/>
        <v>블럭 기믹 타입 | Chain</v>
      </c>
      <c r="G40" s="12"/>
      <c r="H40" s="12" t="s">
        <v>170</v>
      </c>
      <c r="I40" s="12" t="s">
        <v>255</v>
      </c>
      <c r="J40" s="9"/>
    </row>
    <row r="41" spans="2:10" ht="10.5" customHeight="1">
      <c r="B41" s="8" t="str">
        <f t="shared" si="0"/>
        <v>Block_GimmickType|6</v>
      </c>
      <c r="C41" s="12" t="s">
        <v>169</v>
      </c>
      <c r="D41" s="12" t="s">
        <v>256</v>
      </c>
      <c r="E41" s="12">
        <v>6</v>
      </c>
      <c r="F41" s="8" t="str">
        <f t="shared" si="4"/>
        <v>블럭 기믹 타입 | Key</v>
      </c>
      <c r="G41" s="12"/>
      <c r="H41" s="12" t="s">
        <v>170</v>
      </c>
      <c r="I41" s="12" t="s">
        <v>256</v>
      </c>
      <c r="J41" s="9"/>
    </row>
    <row r="42" spans="2:10" ht="10.5" customHeight="1">
      <c r="B42" s="8" t="str">
        <f t="shared" si="0"/>
        <v>Block_GimmickType|7</v>
      </c>
      <c r="C42" s="12" t="s">
        <v>169</v>
      </c>
      <c r="D42" s="12" t="s">
        <v>257</v>
      </c>
      <c r="E42" s="12">
        <v>7</v>
      </c>
      <c r="F42" s="8" t="str">
        <f t="shared" si="4"/>
        <v>블럭 기믹 타입 | Combine</v>
      </c>
      <c r="G42" s="12"/>
      <c r="H42" s="12" t="s">
        <v>170</v>
      </c>
      <c r="I42" s="12" t="s">
        <v>257</v>
      </c>
      <c r="J42" s="9"/>
    </row>
    <row r="43" spans="2:10" ht="10.5" customHeight="1">
      <c r="B43" s="8" t="str">
        <f t="shared" si="0"/>
        <v>Block_GimmickType|8</v>
      </c>
      <c r="C43" s="12" t="s">
        <v>169</v>
      </c>
      <c r="D43" s="12" t="s">
        <v>258</v>
      </c>
      <c r="E43" s="12">
        <v>8</v>
      </c>
      <c r="F43" s="8" t="str">
        <f t="shared" si="4"/>
        <v>블럭 기믹 타입 | Bomb</v>
      </c>
      <c r="G43" s="12"/>
      <c r="H43" s="12" t="s">
        <v>170</v>
      </c>
      <c r="I43" s="12" t="s">
        <v>258</v>
      </c>
      <c r="J43" s="9"/>
    </row>
    <row r="44" spans="2:10" ht="10.5" customHeight="1">
      <c r="B44" s="8" t="str">
        <f t="shared" si="0"/>
        <v>Block_GimmickType|9</v>
      </c>
      <c r="C44" s="12" t="s">
        <v>169</v>
      </c>
      <c r="D44" s="12" t="s">
        <v>259</v>
      </c>
      <c r="E44" s="12">
        <v>9</v>
      </c>
      <c r="F44" s="8" t="str">
        <f t="shared" si="4"/>
        <v>블럭 기믹 타입 | Ropes</v>
      </c>
      <c r="G44" s="12"/>
      <c r="H44" s="12" t="s">
        <v>170</v>
      </c>
      <c r="I44" s="12" t="s">
        <v>259</v>
      </c>
      <c r="J44" s="9"/>
    </row>
    <row r="45" spans="2:10" ht="10.5" customHeight="1">
      <c r="B45" s="8" t="str">
        <f t="shared" si="0"/>
        <v>Block_GimmickType|10</v>
      </c>
      <c r="C45" s="12" t="s">
        <v>169</v>
      </c>
      <c r="D45" s="12" t="s">
        <v>260</v>
      </c>
      <c r="E45" s="12">
        <v>10</v>
      </c>
      <c r="F45" s="8" t="str">
        <f t="shared" si="4"/>
        <v>블럭 기믹 타입 | Scissors</v>
      </c>
      <c r="G45" s="12"/>
      <c r="H45" s="12" t="s">
        <v>170</v>
      </c>
      <c r="I45" s="12" t="s">
        <v>260</v>
      </c>
      <c r="J45" s="9"/>
    </row>
    <row r="46" spans="2:10" ht="10.5" customHeight="1">
      <c r="B46" s="8" t="str">
        <f>C46&amp;"|"&amp;E46</f>
        <v>Block_GimmickType|11</v>
      </c>
      <c r="C46" s="12" t="s">
        <v>169</v>
      </c>
      <c r="D46" s="12" t="s">
        <v>387</v>
      </c>
      <c r="E46" s="12">
        <v>11</v>
      </c>
      <c r="F46" s="8" t="str">
        <f t="shared" si="4"/>
        <v>블럭 기믹 타입 | Moving_Obstacle</v>
      </c>
      <c r="G46" s="12"/>
      <c r="H46" s="12" t="s">
        <v>170</v>
      </c>
      <c r="I46" s="12" t="s">
        <v>387</v>
      </c>
      <c r="J46" s="9"/>
    </row>
    <row r="47" spans="2:10" ht="10.5" customHeight="1">
      <c r="B47" s="8" t="str">
        <f t="shared" ref="B47" si="5">C47&amp;"|"&amp;E47</f>
        <v>Block_GimmickType|12</v>
      </c>
      <c r="C47" s="12" t="s">
        <v>169</v>
      </c>
      <c r="D47" s="12" t="s">
        <v>420</v>
      </c>
      <c r="E47" s="12">
        <v>12</v>
      </c>
      <c r="F47" s="8" t="str">
        <f t="shared" si="4"/>
        <v>블럭 기믹 타입 | Screw</v>
      </c>
      <c r="G47" s="12"/>
      <c r="H47" s="12" t="s">
        <v>170</v>
      </c>
      <c r="I47" s="12" t="s">
        <v>420</v>
      </c>
      <c r="J47" s="9"/>
    </row>
    <row r="48" spans="2:10" ht="10.5" customHeight="1">
      <c r="B48" s="8" t="str">
        <f t="shared" ref="B48" si="6">C48&amp;"|"&amp;E48</f>
        <v>Block_GimmickType|13</v>
      </c>
      <c r="C48" s="12" t="s">
        <v>169</v>
      </c>
      <c r="D48" s="12" t="s">
        <v>370</v>
      </c>
      <c r="E48" s="12">
        <v>13</v>
      </c>
      <c r="F48" s="8" t="str">
        <f t="shared" si="4"/>
        <v>블럭 기믹 타입 | Crate</v>
      </c>
      <c r="G48" s="12"/>
      <c r="H48" s="12" t="s">
        <v>170</v>
      </c>
      <c r="I48" s="12" t="s">
        <v>370</v>
      </c>
      <c r="J48" s="9"/>
    </row>
    <row r="49" spans="2:10" ht="10.5" customHeight="1">
      <c r="B49" s="8" t="str">
        <f t="shared" ref="B49" si="7">C49&amp;"|"&amp;E49</f>
        <v>Block_GimmickType|14</v>
      </c>
      <c r="C49" s="12" t="s">
        <v>169</v>
      </c>
      <c r="D49" s="12" t="s">
        <v>439</v>
      </c>
      <c r="E49" s="12">
        <v>14</v>
      </c>
      <c r="F49" s="8" t="str">
        <f t="shared" si="4"/>
        <v>블럭 기믹 타입 | Rainbow</v>
      </c>
      <c r="G49" s="12"/>
      <c r="H49" s="12" t="s">
        <v>170</v>
      </c>
      <c r="I49" s="12" t="s">
        <v>439</v>
      </c>
      <c r="J49" s="9"/>
    </row>
    <row r="50" spans="2:10" ht="10.5" customHeight="1">
      <c r="B50" s="8" t="str">
        <f t="shared" ref="B50" si="8">C50&amp;"|"&amp;E50</f>
        <v>Block_GimmickType|15</v>
      </c>
      <c r="C50" s="12" t="s">
        <v>169</v>
      </c>
      <c r="D50" s="12" t="s">
        <v>377</v>
      </c>
      <c r="E50" s="12">
        <v>15</v>
      </c>
      <c r="F50" s="8" t="str">
        <f t="shared" si="4"/>
        <v>블럭 기믹 타입 | CombinedLockedBlock</v>
      </c>
      <c r="G50" s="12"/>
      <c r="H50" s="12" t="s">
        <v>170</v>
      </c>
      <c r="I50" s="12" t="s">
        <v>377</v>
      </c>
      <c r="J50" s="9"/>
    </row>
    <row r="51" spans="2:10" ht="10.5" customHeight="1">
      <c r="B51" s="8" t="str">
        <f t="shared" ref="B51" si="9">C51&amp;"|"&amp;E51</f>
        <v>Block_GimmickType|16</v>
      </c>
      <c r="C51" s="12" t="s">
        <v>169</v>
      </c>
      <c r="D51" s="12" t="s">
        <v>378</v>
      </c>
      <c r="E51" s="12">
        <v>16</v>
      </c>
      <c r="F51" s="8" t="str">
        <f t="shared" si="4"/>
        <v>블럭 기믹 타입 | HiddenBlock</v>
      </c>
      <c r="G51" s="12"/>
      <c r="H51" s="12" t="s">
        <v>170</v>
      </c>
      <c r="I51" s="12" t="s">
        <v>378</v>
      </c>
      <c r="J51" s="9"/>
    </row>
    <row r="52" spans="2:10" ht="10.5" customHeight="1">
      <c r="B52" s="8" t="str">
        <f t="shared" ref="B52" si="10">C52&amp;"|"&amp;E52</f>
        <v>Block_GimmickType|17</v>
      </c>
      <c r="C52" s="12" t="s">
        <v>169</v>
      </c>
      <c r="D52" s="12" t="s">
        <v>492</v>
      </c>
      <c r="E52" s="12">
        <v>17</v>
      </c>
      <c r="F52" s="8" t="str">
        <f t="shared" si="4"/>
        <v>블럭 기믹 타입 | Dynamite</v>
      </c>
      <c r="G52" s="12"/>
      <c r="H52" s="12" t="s">
        <v>170</v>
      </c>
      <c r="I52" s="12" t="s">
        <v>492</v>
      </c>
      <c r="J52" s="9"/>
    </row>
    <row r="53" spans="2:10" ht="10.5" customHeight="1">
      <c r="B53" s="8" t="str">
        <f t="shared" ref="B53" si="11">C53&amp;"|"&amp;E53</f>
        <v>Block_GimmickType|18</v>
      </c>
      <c r="C53" s="12" t="s">
        <v>169</v>
      </c>
      <c r="D53" s="12" t="s">
        <v>493</v>
      </c>
      <c r="E53" s="12">
        <v>18</v>
      </c>
      <c r="F53" s="8" t="str">
        <f t="shared" si="4"/>
        <v>블럭 기믹 타입 | Curtain</v>
      </c>
      <c r="G53" s="12"/>
      <c r="H53" s="12" t="s">
        <v>170</v>
      </c>
      <c r="I53" s="12" t="s">
        <v>493</v>
      </c>
      <c r="J53" s="9"/>
    </row>
    <row r="54" spans="2:10" ht="10.5" customHeight="1">
      <c r="B54" s="8" t="str">
        <f t="shared" ref="B54" si="12">C54&amp;"|"&amp;E54</f>
        <v>Block_GimmickType|19</v>
      </c>
      <c r="C54" s="12" t="s">
        <v>169</v>
      </c>
      <c r="D54" s="12" t="s">
        <v>381</v>
      </c>
      <c r="E54" s="12">
        <v>19</v>
      </c>
      <c r="F54" s="8" t="str">
        <f t="shared" si="4"/>
        <v>블럭 기믹 타입 | MoveableCrate</v>
      </c>
      <c r="G54" s="12"/>
      <c r="H54" s="12" t="s">
        <v>170</v>
      </c>
      <c r="I54" s="12" t="s">
        <v>381</v>
      </c>
      <c r="J54" s="9"/>
    </row>
    <row r="55" spans="2:10" ht="10.5" customHeight="1">
      <c r="B55" s="8" t="str">
        <f t="shared" ref="B55" si="13">C55&amp;"|"&amp;E55</f>
        <v>Block_GimmickType|20</v>
      </c>
      <c r="C55" s="12" t="s">
        <v>169</v>
      </c>
      <c r="D55" s="12" t="s">
        <v>494</v>
      </c>
      <c r="E55" s="12">
        <v>20</v>
      </c>
      <c r="F55" s="8" t="str">
        <f t="shared" si="4"/>
        <v>블럭 기믹 타입 | TimeCapsule</v>
      </c>
      <c r="G55" s="12"/>
      <c r="H55" s="12" t="s">
        <v>170</v>
      </c>
      <c r="I55" s="12" t="s">
        <v>494</v>
      </c>
      <c r="J55" s="9"/>
    </row>
    <row r="56" spans="2:10" ht="10.5" customHeight="1">
      <c r="B56" s="8" t="str">
        <f t="shared" ref="B56" si="14">C56&amp;"|"&amp;E56</f>
        <v>Block_GimmickType|21</v>
      </c>
      <c r="C56" s="12" t="s">
        <v>169</v>
      </c>
      <c r="D56" s="12" t="s">
        <v>495</v>
      </c>
      <c r="E56" s="12">
        <v>21</v>
      </c>
      <c r="F56" s="8" t="str">
        <f t="shared" si="4"/>
        <v>블럭 기믹 타입 | ColorSwitching</v>
      </c>
      <c r="G56" s="12"/>
      <c r="H56" s="12" t="s">
        <v>170</v>
      </c>
      <c r="I56" s="12" t="s">
        <v>495</v>
      </c>
      <c r="J56" s="9"/>
    </row>
    <row r="57" spans="2:10" ht="10.5" customHeight="1">
      <c r="B57" s="8" t="str">
        <f t="shared" si="0"/>
        <v>Block_Type|0</v>
      </c>
      <c r="C57" s="9" t="s">
        <v>157</v>
      </c>
      <c r="D57" s="9" t="s">
        <v>180</v>
      </c>
      <c r="E57" s="9">
        <v>0</v>
      </c>
      <c r="F57" s="8" t="str">
        <f>IF(H57="", "", H57&amp;IF(I57="", "", " | "&amp;I57)&amp;IF(J95="", "", " | "&amp;J95))</f>
        <v>블럭 타입 | 1x1_Square</v>
      </c>
      <c r="H57" s="9" t="s">
        <v>179</v>
      </c>
      <c r="I57" s="9" t="s">
        <v>171</v>
      </c>
      <c r="J57" s="9"/>
    </row>
    <row r="58" spans="2:10" ht="10.5" customHeight="1">
      <c r="B58" s="8" t="str">
        <f t="shared" si="0"/>
        <v>Block_Type|1</v>
      </c>
      <c r="C58" s="9" t="s">
        <v>157</v>
      </c>
      <c r="D58" s="9" t="s">
        <v>181</v>
      </c>
      <c r="E58" s="9">
        <v>1</v>
      </c>
      <c r="F58" s="8" t="str">
        <f>IF(H58="", "", H58&amp;IF(I58="", "", " | "&amp;I58)&amp;IF(J96="", "", " | "&amp;J96))</f>
        <v>블럭 타입 | 1x2_Square</v>
      </c>
      <c r="H58" s="9" t="s">
        <v>179</v>
      </c>
      <c r="I58" s="9" t="s">
        <v>173</v>
      </c>
      <c r="J58" s="9"/>
    </row>
    <row r="59" spans="2:10" ht="10.5" customHeight="1">
      <c r="B59" s="8" t="str">
        <f t="shared" si="0"/>
        <v>Block_Type|2</v>
      </c>
      <c r="C59" s="9" t="s">
        <v>157</v>
      </c>
      <c r="D59" s="9" t="s">
        <v>182</v>
      </c>
      <c r="E59" s="9">
        <v>2</v>
      </c>
      <c r="F59" s="8" t="str">
        <f>IF(H59="", "", H59&amp;IF(I59="", "", " | "&amp;I59)&amp;IF(J97="", "", " | "&amp;J97))</f>
        <v>블럭 타입 | 1x3_Square</v>
      </c>
      <c r="H59" s="9" t="s">
        <v>179</v>
      </c>
      <c r="I59" s="9" t="s">
        <v>172</v>
      </c>
      <c r="J59" s="9"/>
    </row>
    <row r="60" spans="2:10" ht="10.5" customHeight="1">
      <c r="B60" s="8" t="str">
        <f t="shared" si="0"/>
        <v>Block_Type|3</v>
      </c>
      <c r="C60" s="9" t="s">
        <v>157</v>
      </c>
      <c r="D60" s="11" t="s">
        <v>183</v>
      </c>
      <c r="E60" s="9">
        <v>3</v>
      </c>
      <c r="F60" s="8" t="str">
        <f>IF(H60="", "", H60&amp;IF(I60="", "", " | "&amp;I60)&amp;IF(J98="", "", " | "&amp;J98))</f>
        <v>블럭 타입 | 2x2_Square</v>
      </c>
      <c r="H60" s="9" t="s">
        <v>179</v>
      </c>
      <c r="I60" s="11" t="s">
        <v>174</v>
      </c>
      <c r="J60" s="9"/>
    </row>
    <row r="61" spans="2:10" ht="10.5" customHeight="1">
      <c r="B61" s="8" t="str">
        <f t="shared" si="0"/>
        <v>Block_Type|4</v>
      </c>
      <c r="C61" s="9" t="s">
        <v>157</v>
      </c>
      <c r="D61" s="11" t="s">
        <v>184</v>
      </c>
      <c r="E61" s="9">
        <v>4</v>
      </c>
      <c r="F61" s="8" t="str">
        <f>IF(H61="", "", H61&amp;IF(I61="", "", " | "&amp;I61)&amp;IF(J100="", "", " | "&amp;J100))</f>
        <v>블럭 타입 | 2x2_Corner</v>
      </c>
      <c r="H61" s="9" t="s">
        <v>179</v>
      </c>
      <c r="I61" s="11" t="s">
        <v>175</v>
      </c>
      <c r="J61" s="9"/>
    </row>
    <row r="62" spans="2:10" ht="10.5" customHeight="1">
      <c r="B62" s="8" t="str">
        <f t="shared" si="0"/>
        <v>Block_Type|5</v>
      </c>
      <c r="C62" s="9" t="s">
        <v>157</v>
      </c>
      <c r="D62" s="9" t="s">
        <v>187</v>
      </c>
      <c r="E62" s="9">
        <v>5</v>
      </c>
      <c r="F62" s="8" t="str">
        <f>IF(H62="", "", H62&amp;IF(I62="", "", " | "&amp;I62)&amp;IF(J101="", "", " | "&amp;J101))</f>
        <v>블럭 타입 | 2x3_Corner</v>
      </c>
      <c r="H62" s="9" t="s">
        <v>179</v>
      </c>
      <c r="I62" s="9" t="s">
        <v>176</v>
      </c>
      <c r="J62" s="9"/>
    </row>
    <row r="63" spans="2:10" ht="10.5" customHeight="1">
      <c r="B63" s="8" t="str">
        <f t="shared" si="0"/>
        <v>Block_Type|6</v>
      </c>
      <c r="C63" s="9" t="s">
        <v>157</v>
      </c>
      <c r="D63" s="9" t="s">
        <v>186</v>
      </c>
      <c r="E63" s="9">
        <v>6</v>
      </c>
      <c r="F63" s="8" t="str">
        <f>IF(H63="", "", H63&amp;IF(I63="", "", " | "&amp;I63)&amp;IF(J110="", "", " | "&amp;J110))</f>
        <v>블럭 타입 | 2x3_Cross</v>
      </c>
      <c r="H63" s="9" t="s">
        <v>179</v>
      </c>
      <c r="I63" s="9" t="s">
        <v>177</v>
      </c>
      <c r="J63" s="9"/>
    </row>
    <row r="64" spans="2:10" ht="10.5" customHeight="1">
      <c r="B64" s="8" t="str">
        <f t="shared" si="0"/>
        <v>Block_Type|7</v>
      </c>
      <c r="C64" s="9" t="s">
        <v>157</v>
      </c>
      <c r="D64" s="11" t="s">
        <v>185</v>
      </c>
      <c r="E64" s="9">
        <v>7</v>
      </c>
      <c r="F64" s="8" t="str">
        <f>IF(H64="", "", H64&amp;IF(I64="", "", " | "&amp;I64)&amp;IF(J111="", "", " | "&amp;J111))</f>
        <v>블럭 타입 | 3x3_Cross</v>
      </c>
      <c r="H64" s="9" t="s">
        <v>179</v>
      </c>
      <c r="I64" s="11" t="s">
        <v>178</v>
      </c>
      <c r="J64" s="9"/>
    </row>
    <row r="65" spans="2:10" ht="10.5" customHeight="1">
      <c r="B65" s="8" t="str">
        <f t="shared" ref="B65" si="15">C65&amp;"|"&amp;E65</f>
        <v>Block_Type|8</v>
      </c>
      <c r="C65" s="9" t="s">
        <v>157</v>
      </c>
      <c r="D65" s="11" t="s">
        <v>306</v>
      </c>
      <c r="E65" s="9">
        <v>8</v>
      </c>
      <c r="F65" s="8" t="str">
        <f t="shared" ref="F65" si="16">IF(H65="", "", H65&amp;IF(I65="", "", " | "&amp;I65)&amp;IF(J113="", "", " | "&amp;J113))</f>
        <v>블럭 타입 | 2x3_Corner_R</v>
      </c>
      <c r="H65" s="9" t="s">
        <v>179</v>
      </c>
      <c r="I65" s="11" t="s">
        <v>307</v>
      </c>
      <c r="J65" s="9"/>
    </row>
    <row r="66" spans="2:10" ht="10.5" customHeight="1">
      <c r="B66" s="8" t="str">
        <f t="shared" ref="B66:B68" si="17">C66&amp;"|"&amp;E66</f>
        <v>Block_Type|9</v>
      </c>
      <c r="C66" s="9" t="s">
        <v>157</v>
      </c>
      <c r="D66" s="11" t="s">
        <v>421</v>
      </c>
      <c r="E66" s="9">
        <v>9</v>
      </c>
      <c r="F66" s="8" t="str">
        <f>IF(H66="", "", H66&amp;IF(I66="", "", " | "&amp;I66)&amp;IF(J114="", "", " | "&amp;J114))</f>
        <v>블럭 타입 | U_3x2</v>
      </c>
      <c r="H66" s="9" t="s">
        <v>179</v>
      </c>
      <c r="I66" s="11" t="s">
        <v>421</v>
      </c>
      <c r="J66" s="9"/>
    </row>
    <row r="67" spans="2:10" ht="10.5" customHeight="1">
      <c r="B67" s="8" t="str">
        <f t="shared" si="17"/>
        <v>Block_Type|10</v>
      </c>
      <c r="C67" s="9" t="s">
        <v>157</v>
      </c>
      <c r="D67" s="11" t="s">
        <v>443</v>
      </c>
      <c r="E67" s="9">
        <v>10</v>
      </c>
      <c r="F67" s="8" t="str">
        <f>IF(H67="", "", H67&amp;IF(I67="", "", " | "&amp;I67)&amp;IF(J115="", "", " | "&amp;J115))</f>
        <v>블럭 타입 | S_3x2</v>
      </c>
      <c r="H67" s="9" t="s">
        <v>179</v>
      </c>
      <c r="I67" s="11" t="s">
        <v>443</v>
      </c>
      <c r="J67" s="9"/>
    </row>
    <row r="68" spans="2:10" ht="10.5" customHeight="1">
      <c r="B68" s="8" t="str">
        <f t="shared" si="17"/>
        <v>Block_Type|11</v>
      </c>
      <c r="C68" s="9" t="s">
        <v>157</v>
      </c>
      <c r="D68" s="11" t="s">
        <v>444</v>
      </c>
      <c r="E68" s="9">
        <v>11</v>
      </c>
      <c r="F68" s="8" t="str">
        <f>IF(H68="", "", H68&amp;IF(I68="", "", " | "&amp;I68)&amp;IF(J116="", "", " | "&amp;J116))</f>
        <v>블럭 타입 | Z_3x2</v>
      </c>
      <c r="H68" s="9" t="s">
        <v>179</v>
      </c>
      <c r="I68" s="11" t="s">
        <v>444</v>
      </c>
      <c r="J68" s="9"/>
    </row>
    <row r="69" spans="2:10" ht="10.5" customHeight="1">
      <c r="B69" s="8" t="str">
        <f t="shared" si="0"/>
        <v>Tile_Type|0</v>
      </c>
      <c r="C69" s="9" t="s">
        <v>188</v>
      </c>
      <c r="D69" s="9" t="s">
        <v>100</v>
      </c>
      <c r="E69" s="9">
        <v>0</v>
      </c>
      <c r="F69" s="8" t="str">
        <f>IF(H69="", "", H69&amp;IF(I69="", "", " | "&amp;I69)&amp;IF(J112="", "", " | "&amp;J112))</f>
        <v>타일 타입 | Normal</v>
      </c>
      <c r="H69" s="9" t="s">
        <v>190</v>
      </c>
      <c r="I69" s="9" t="s">
        <v>100</v>
      </c>
      <c r="J69" s="9"/>
    </row>
    <row r="70" spans="2:10" ht="10.5" customHeight="1">
      <c r="B70" s="8" t="str">
        <f t="shared" si="0"/>
        <v>Tile_Type|1</v>
      </c>
      <c r="C70" s="9" t="s">
        <v>188</v>
      </c>
      <c r="D70" s="9" t="s">
        <v>189</v>
      </c>
      <c r="E70" s="9">
        <v>1</v>
      </c>
      <c r="F70" s="8" t="str">
        <f>IF(H70="", "", H70&amp;IF(I70="", "", " | "&amp;I70)&amp;IF(J113="", "", " | "&amp;J113))</f>
        <v>타일 타입 | Colorful</v>
      </c>
      <c r="H70" s="9" t="s">
        <v>190</v>
      </c>
      <c r="I70" s="9" t="s">
        <v>189</v>
      </c>
      <c r="J70" s="9"/>
    </row>
    <row r="71" spans="2:10" ht="10.5" customHeight="1">
      <c r="B71" s="8" t="str">
        <f t="shared" si="0"/>
        <v>Wall_Type|0</v>
      </c>
      <c r="C71" s="9" t="s">
        <v>191</v>
      </c>
      <c r="D71" s="9" t="s">
        <v>314</v>
      </c>
      <c r="E71" s="9">
        <v>0</v>
      </c>
      <c r="F71" s="8" t="str">
        <f>IF(H71="", "", H71&amp;IF(I71="", "", " | "&amp;I71)&amp;IF(J114="", "", " | "&amp;J114))</f>
        <v>벽 타입 | WallOut</v>
      </c>
      <c r="H71" s="9" t="s">
        <v>194</v>
      </c>
      <c r="I71" s="9" t="s">
        <v>314</v>
      </c>
      <c r="J71" s="9"/>
    </row>
    <row r="72" spans="2:10" ht="10.5" customHeight="1">
      <c r="B72" s="8" t="str">
        <f t="shared" si="0"/>
        <v>Wall_Type|1</v>
      </c>
      <c r="C72" s="9" t="s">
        <v>191</v>
      </c>
      <c r="D72" s="9" t="s">
        <v>193</v>
      </c>
      <c r="E72" s="9">
        <v>1</v>
      </c>
      <c r="F72" s="8" t="str">
        <f>IF(H72="", "", H72&amp;IF(I72="", "", " | "&amp;I72)&amp;IF(J115="", "", " | "&amp;J115))</f>
        <v>벽 타입 | Corner</v>
      </c>
      <c r="H72" s="9" t="s">
        <v>194</v>
      </c>
      <c r="I72" s="9" t="s">
        <v>193</v>
      </c>
      <c r="J72" s="9"/>
    </row>
    <row r="73" spans="2:10" ht="10.5" customHeight="1">
      <c r="B73" s="8" t="str">
        <f t="shared" ref="B73" si="18">C73&amp;"|"&amp;E73</f>
        <v>Wall_Type|2</v>
      </c>
      <c r="C73" s="9" t="s">
        <v>191</v>
      </c>
      <c r="D73" s="9" t="s">
        <v>192</v>
      </c>
      <c r="E73" s="9">
        <v>2</v>
      </c>
      <c r="F73" s="8" t="str">
        <f>IF(H73="", "", H73&amp;IF(I73="", "", " | "&amp;I73)&amp;IF(J116="", "", " | "&amp;J116))</f>
        <v>벽 타입 | Wall</v>
      </c>
      <c r="H73" s="9" t="s">
        <v>194</v>
      </c>
      <c r="I73" s="9" t="s">
        <v>192</v>
      </c>
      <c r="J73" s="9"/>
    </row>
    <row r="74" spans="2:10" ht="10.5" customHeight="1">
      <c r="B74" s="8" t="str">
        <f t="shared" si="0"/>
        <v>Block_Color|0</v>
      </c>
      <c r="C74" s="9" t="s">
        <v>195</v>
      </c>
      <c r="D74" s="9" t="s">
        <v>196</v>
      </c>
      <c r="E74" s="9">
        <v>0</v>
      </c>
      <c r="F74" s="8" t="str">
        <f>IF(H74="", "", H74&amp;IF(I74="", "", " | "&amp;I74)&amp;IF(J116="", "", " | "&amp;J116))</f>
        <v>블럭 색상 | 빨강</v>
      </c>
      <c r="H74" s="9" t="s">
        <v>206</v>
      </c>
      <c r="I74" s="9" t="s">
        <v>207</v>
      </c>
      <c r="J74" s="9"/>
    </row>
    <row r="75" spans="2:10" ht="10.5" customHeight="1">
      <c r="B75" s="8" t="str">
        <f t="shared" si="0"/>
        <v>Block_Color|1</v>
      </c>
      <c r="C75" s="9" t="s">
        <v>195</v>
      </c>
      <c r="D75" s="9" t="s">
        <v>197</v>
      </c>
      <c r="E75" s="9">
        <v>1</v>
      </c>
      <c r="F75" s="8" t="str">
        <f>IF(H75="", "", H75&amp;IF(I75="", "", " | "&amp;I75)&amp;IF(J117="", "", " | "&amp;J117))</f>
        <v>블럭 색상 | 녹색</v>
      </c>
      <c r="H75" s="9" t="s">
        <v>206</v>
      </c>
      <c r="I75" s="9" t="s">
        <v>208</v>
      </c>
      <c r="J75" s="9"/>
    </row>
    <row r="76" spans="2:10" ht="10.5" customHeight="1">
      <c r="B76" s="8" t="str">
        <f t="shared" si="0"/>
        <v>Block_Color|2</v>
      </c>
      <c r="C76" s="9" t="s">
        <v>195</v>
      </c>
      <c r="D76" s="9" t="s">
        <v>198</v>
      </c>
      <c r="E76" s="9">
        <v>2</v>
      </c>
      <c r="F76" s="8" t="str">
        <f t="shared" ref="F76:F82" si="19">IF(H76="", "", H76&amp;IF(I76="", "", " | "&amp;I76)&amp;IF(J119="", "", " | "&amp;J119))</f>
        <v>블럭 색상 | 연두</v>
      </c>
      <c r="H76" s="9" t="s">
        <v>206</v>
      </c>
      <c r="I76" s="9" t="s">
        <v>209</v>
      </c>
      <c r="J76" s="9"/>
    </row>
    <row r="77" spans="2:10" ht="10.5" customHeight="1">
      <c r="B77" s="8" t="str">
        <f t="shared" si="0"/>
        <v>Block_Color|3</v>
      </c>
      <c r="C77" s="9" t="s">
        <v>195</v>
      </c>
      <c r="D77" s="9" t="s">
        <v>199</v>
      </c>
      <c r="E77" s="9">
        <v>3</v>
      </c>
      <c r="F77" s="8" t="str">
        <f t="shared" si="19"/>
        <v>블럭 색상 | 파랑</v>
      </c>
      <c r="H77" s="9" t="s">
        <v>206</v>
      </c>
      <c r="I77" s="9" t="s">
        <v>210</v>
      </c>
      <c r="J77" s="9"/>
    </row>
    <row r="78" spans="2:10" ht="10.5" customHeight="1">
      <c r="B78" s="8" t="str">
        <f t="shared" si="0"/>
        <v>Block_Color|4</v>
      </c>
      <c r="C78" s="9" t="s">
        <v>195</v>
      </c>
      <c r="D78" s="9" t="s">
        <v>200</v>
      </c>
      <c r="E78" s="9">
        <v>4</v>
      </c>
      <c r="F78" s="8" t="str">
        <f t="shared" si="19"/>
        <v>블럭 색상 | 핑크</v>
      </c>
      <c r="H78" s="9" t="s">
        <v>206</v>
      </c>
      <c r="I78" s="9" t="s">
        <v>211</v>
      </c>
      <c r="J78" s="9"/>
    </row>
    <row r="79" spans="2:10" ht="10.5" customHeight="1">
      <c r="B79" s="8" t="str">
        <f t="shared" si="0"/>
        <v>Block_Color|5</v>
      </c>
      <c r="C79" s="9" t="s">
        <v>195</v>
      </c>
      <c r="D79" s="9" t="s">
        <v>201</v>
      </c>
      <c r="E79" s="9">
        <v>5</v>
      </c>
      <c r="F79" s="8" t="str">
        <f t="shared" si="19"/>
        <v>블럭 색상 | 보라</v>
      </c>
      <c r="H79" s="9" t="s">
        <v>206</v>
      </c>
      <c r="I79" s="9" t="s">
        <v>212</v>
      </c>
      <c r="J79" s="9"/>
    </row>
    <row r="80" spans="2:10" ht="10.5" customHeight="1">
      <c r="B80" s="8" t="str">
        <f t="shared" si="0"/>
        <v>Block_Color|6</v>
      </c>
      <c r="C80" s="9" t="s">
        <v>195</v>
      </c>
      <c r="D80" s="9" t="s">
        <v>202</v>
      </c>
      <c r="E80" s="9">
        <v>6</v>
      </c>
      <c r="F80" s="8" t="str">
        <f t="shared" si="19"/>
        <v>블럭 색상 | 노랑</v>
      </c>
      <c r="H80" s="9" t="s">
        <v>206</v>
      </c>
      <c r="I80" s="9" t="s">
        <v>213</v>
      </c>
      <c r="J80" s="9"/>
    </row>
    <row r="81" spans="2:10" ht="10.5" customHeight="1">
      <c r="B81" s="8" t="str">
        <f t="shared" si="0"/>
        <v>Block_Color|7</v>
      </c>
      <c r="C81" s="9" t="s">
        <v>195</v>
      </c>
      <c r="D81" s="9" t="s">
        <v>203</v>
      </c>
      <c r="E81" s="9">
        <v>7</v>
      </c>
      <c r="F81" s="8" t="str">
        <f t="shared" si="19"/>
        <v>블럭 색상 | 하늘</v>
      </c>
      <c r="H81" s="9" t="s">
        <v>206</v>
      </c>
      <c r="I81" s="9" t="s">
        <v>214</v>
      </c>
      <c r="J81" s="9"/>
    </row>
    <row r="82" spans="2:10" ht="10.5" customHeight="1">
      <c r="B82" s="8" t="str">
        <f t="shared" si="0"/>
        <v>Block_Color|8</v>
      </c>
      <c r="C82" s="9" t="s">
        <v>195</v>
      </c>
      <c r="D82" s="9" t="s">
        <v>204</v>
      </c>
      <c r="E82" s="9">
        <v>8</v>
      </c>
      <c r="F82" s="8" t="str">
        <f t="shared" si="19"/>
        <v>블럭 색상 | 주황</v>
      </c>
      <c r="H82" s="9" t="s">
        <v>206</v>
      </c>
      <c r="I82" s="9" t="s">
        <v>215</v>
      </c>
      <c r="J82" s="9"/>
    </row>
    <row r="83" spans="2:10" ht="10.5" customHeight="1">
      <c r="B83" s="8" t="str">
        <f t="shared" si="0"/>
        <v>Block_Color|9</v>
      </c>
      <c r="C83" s="9" t="s">
        <v>195</v>
      </c>
      <c r="D83" s="9" t="s">
        <v>205</v>
      </c>
      <c r="E83" s="9">
        <v>9</v>
      </c>
      <c r="F83" s="8" t="e">
        <f>IF(H83="", "", H83&amp;IF(I83="", "", " | "&amp;I83)&amp;IF(#REF!="", "", " | "&amp;#REF!))</f>
        <v>#REF!</v>
      </c>
      <c r="H83" s="9" t="s">
        <v>206</v>
      </c>
      <c r="I83" s="9" t="s">
        <v>216</v>
      </c>
      <c r="J83" s="9"/>
    </row>
    <row r="84" spans="2:10" ht="10.5" customHeight="1">
      <c r="B84" s="8" t="str">
        <f t="shared" ref="B84" si="20">C84&amp;"|"&amp;E84</f>
        <v>Block_Color|10</v>
      </c>
      <c r="C84" s="9" t="s">
        <v>195</v>
      </c>
      <c r="D84" s="9" t="s">
        <v>419</v>
      </c>
      <c r="E84" s="9">
        <v>10</v>
      </c>
      <c r="F84" s="8" t="str">
        <f>IF(H84="", "", H84&amp;IF(I84="", "", " | "&amp;I84)&amp;IF(J126="", "", " | "&amp;J126))</f>
        <v>블럭 색상 | 회색(분쇄 못하는 블럭)</v>
      </c>
      <c r="H84" s="9" t="s">
        <v>206</v>
      </c>
      <c r="I84" s="9" t="s">
        <v>436</v>
      </c>
      <c r="J84" s="9"/>
    </row>
    <row r="85" spans="2:10" ht="10.5" customHeight="1">
      <c r="B85" s="8" t="str">
        <f t="shared" ref="B85" si="21">C85&amp;"|"&amp;E85</f>
        <v>Block_Color|11</v>
      </c>
      <c r="C85" s="9" t="s">
        <v>195</v>
      </c>
      <c r="D85" s="9" t="s">
        <v>437</v>
      </c>
      <c r="E85" s="9">
        <v>11</v>
      </c>
      <c r="F85" s="8" t="str">
        <f>IF(H85="", "", H85&amp;IF(I85="", "", " | "&amp;I85)&amp;IF(J127="", "", " | "&amp;J127))</f>
        <v>블럭 색상 | 무지개색</v>
      </c>
      <c r="H85" s="9" t="s">
        <v>206</v>
      </c>
      <c r="I85" s="9" t="s">
        <v>438</v>
      </c>
      <c r="J85" s="9"/>
    </row>
    <row r="86" spans="2:10" ht="10.5" customHeight="1">
      <c r="B86" s="8" t="str">
        <f t="shared" si="0"/>
        <v>TILE_ROTATION_TYPE|0</v>
      </c>
      <c r="C86" s="9" t="s">
        <v>284</v>
      </c>
      <c r="D86" s="9" t="s">
        <v>285</v>
      </c>
      <c r="E86" s="9">
        <v>0</v>
      </c>
      <c r="F86" s="8" t="str">
        <f>IF(H86="", "", H86&amp;IF(I86="", "", " | "&amp;I86)&amp;IF(J126="", "", " | "&amp;J126))</f>
        <v>타일 회전 | 0</v>
      </c>
      <c r="H86" s="9" t="s">
        <v>286</v>
      </c>
      <c r="I86" s="9">
        <v>0</v>
      </c>
      <c r="J86" s="9"/>
    </row>
    <row r="87" spans="2:10" ht="10.5" customHeight="1">
      <c r="B87" s="8" t="str">
        <f t="shared" ref="B87:B112" si="22">C87&amp;"|"&amp;E87</f>
        <v>TILE_ROTATION_TYPE|1</v>
      </c>
      <c r="C87" s="9" t="s">
        <v>284</v>
      </c>
      <c r="D87" s="9" t="s">
        <v>291</v>
      </c>
      <c r="E87" s="9">
        <v>1</v>
      </c>
      <c r="F87" s="8" t="str">
        <f>IF(H87="", "", H87&amp;IF(I87="", "", " | "&amp;I87)&amp;IF(J127="", "", " | "&amp;J127))</f>
        <v>타일 회전 | 90</v>
      </c>
      <c r="H87" s="9" t="s">
        <v>286</v>
      </c>
      <c r="I87" s="9">
        <v>90</v>
      </c>
      <c r="J87" s="9"/>
    </row>
    <row r="88" spans="2:10" ht="10.5" customHeight="1">
      <c r="B88" s="8" t="str">
        <f t="shared" si="22"/>
        <v>TILE_ROTATION_TYPE|2</v>
      </c>
      <c r="C88" s="9" t="s">
        <v>284</v>
      </c>
      <c r="D88" s="9" t="s">
        <v>292</v>
      </c>
      <c r="E88" s="9">
        <v>2</v>
      </c>
      <c r="F88" s="8" t="str">
        <f>IF(H88="", "", H88&amp;IF(I88="", "", " | "&amp;I88)&amp;IF(J128="", "", " | "&amp;J128))</f>
        <v>타일 회전 | 180</v>
      </c>
      <c r="H88" s="9" t="s">
        <v>286</v>
      </c>
      <c r="I88" s="9">
        <v>180</v>
      </c>
      <c r="J88" s="9"/>
    </row>
    <row r="89" spans="2:10" ht="10.5" customHeight="1">
      <c r="B89" s="8" t="str">
        <f t="shared" si="22"/>
        <v>TILE_ROTATION_TYPE|3</v>
      </c>
      <c r="C89" s="9" t="s">
        <v>284</v>
      </c>
      <c r="D89" s="9" t="s">
        <v>293</v>
      </c>
      <c r="E89" s="9">
        <v>3</v>
      </c>
      <c r="F89" s="8" t="str">
        <f>IF(H89="", "", H89&amp;IF(I89="", "", " | "&amp;I89)&amp;IF(J129="", "", " | "&amp;J129))</f>
        <v>타일 회전 | 270</v>
      </c>
      <c r="H89" s="9" t="s">
        <v>286</v>
      </c>
      <c r="I89" s="9">
        <v>270</v>
      </c>
      <c r="J89" s="9"/>
    </row>
    <row r="90" spans="2:10" ht="10.5" customHeight="1">
      <c r="B90" s="8" t="str">
        <f t="shared" si="22"/>
        <v>TILE_MAP_DIRECTION|0</v>
      </c>
      <c r="C90" s="9" t="s">
        <v>294</v>
      </c>
      <c r="D90" s="9" t="s">
        <v>295</v>
      </c>
      <c r="E90" s="9">
        <v>0</v>
      </c>
      <c r="F90" s="8" t="str">
        <f t="shared" ref="F90:F98" si="23">IF(H90="", "", H90&amp;IF(I90="", "", " | "&amp;I90)&amp;IF(J132="", "", " | "&amp;J132))</f>
        <v>맵툴 사용 | LT</v>
      </c>
      <c r="H90" s="9" t="s">
        <v>304</v>
      </c>
      <c r="I90" s="9" t="s">
        <v>305</v>
      </c>
      <c r="J90" s="9"/>
    </row>
    <row r="91" spans="2:10" ht="10.5" customHeight="1">
      <c r="B91" s="8" t="str">
        <f t="shared" si="22"/>
        <v>TILE_MAP_DIRECTION|1</v>
      </c>
      <c r="C91" s="9" t="s">
        <v>294</v>
      </c>
      <c r="D91" s="9" t="s">
        <v>296</v>
      </c>
      <c r="E91" s="9">
        <v>1</v>
      </c>
      <c r="F91" s="8" t="str">
        <f t="shared" si="23"/>
        <v>맵툴 사용 | T</v>
      </c>
      <c r="H91" s="9" t="s">
        <v>304</v>
      </c>
      <c r="I91" s="9" t="s">
        <v>296</v>
      </c>
      <c r="J91" s="9"/>
    </row>
    <row r="92" spans="2:10" ht="10.5" customHeight="1">
      <c r="B92" s="8" t="str">
        <f t="shared" si="22"/>
        <v>TILE_MAP_DIRECTION|2</v>
      </c>
      <c r="C92" s="9" t="s">
        <v>294</v>
      </c>
      <c r="D92" s="9" t="s">
        <v>297</v>
      </c>
      <c r="E92" s="9">
        <v>2</v>
      </c>
      <c r="F92" s="8" t="str">
        <f t="shared" si="23"/>
        <v>맵툴 사용 | RT</v>
      </c>
      <c r="H92" s="9" t="s">
        <v>304</v>
      </c>
      <c r="I92" s="9" t="s">
        <v>297</v>
      </c>
      <c r="J92" s="9"/>
    </row>
    <row r="93" spans="2:10" ht="10.5" customHeight="1">
      <c r="B93" s="8" t="str">
        <f t="shared" si="22"/>
        <v>TILE_MAP_DIRECTION|3</v>
      </c>
      <c r="C93" s="9" t="s">
        <v>294</v>
      </c>
      <c r="D93" s="9" t="s">
        <v>298</v>
      </c>
      <c r="E93" s="9">
        <v>3</v>
      </c>
      <c r="F93" s="8" t="str">
        <f t="shared" si="23"/>
        <v>맵툴 사용 | LC</v>
      </c>
      <c r="H93" s="9" t="s">
        <v>304</v>
      </c>
      <c r="I93" s="9" t="s">
        <v>298</v>
      </c>
      <c r="J93" s="9"/>
    </row>
    <row r="94" spans="2:10" ht="10.5" customHeight="1">
      <c r="B94" s="8" t="str">
        <f t="shared" si="22"/>
        <v>TILE_MAP_DIRECTION|4</v>
      </c>
      <c r="C94" s="9" t="s">
        <v>294</v>
      </c>
      <c r="D94" s="9" t="s">
        <v>299</v>
      </c>
      <c r="E94" s="9">
        <v>4</v>
      </c>
      <c r="F94" s="8" t="str">
        <f t="shared" si="23"/>
        <v>맵툴 사용 | C</v>
      </c>
      <c r="H94" s="9" t="s">
        <v>304</v>
      </c>
      <c r="I94" s="9" t="s">
        <v>299</v>
      </c>
      <c r="J94" s="9"/>
    </row>
    <row r="95" spans="2:10" ht="10.5" customHeight="1">
      <c r="B95" s="8" t="str">
        <f t="shared" si="22"/>
        <v>TILE_MAP_DIRECTION|5</v>
      </c>
      <c r="C95" s="9" t="s">
        <v>294</v>
      </c>
      <c r="D95" s="9" t="s">
        <v>300</v>
      </c>
      <c r="E95" s="9">
        <v>5</v>
      </c>
      <c r="F95" s="8" t="str">
        <f t="shared" si="23"/>
        <v>맵툴 사용 | RC</v>
      </c>
      <c r="H95" s="9" t="s">
        <v>304</v>
      </c>
      <c r="I95" s="9" t="s">
        <v>300</v>
      </c>
      <c r="J95" s="9"/>
    </row>
    <row r="96" spans="2:10" ht="10.5" customHeight="1">
      <c r="B96" s="8" t="str">
        <f t="shared" si="22"/>
        <v>TILE_MAP_DIRECTION|6</v>
      </c>
      <c r="C96" s="9" t="s">
        <v>294</v>
      </c>
      <c r="D96" s="9" t="s">
        <v>301</v>
      </c>
      <c r="E96" s="9">
        <v>6</v>
      </c>
      <c r="F96" s="8" t="str">
        <f t="shared" si="23"/>
        <v>맵툴 사용 | LB</v>
      </c>
      <c r="H96" s="9" t="s">
        <v>304</v>
      </c>
      <c r="I96" s="9" t="s">
        <v>301</v>
      </c>
      <c r="J96" s="9"/>
    </row>
    <row r="97" spans="2:10" ht="10.5" customHeight="1">
      <c r="B97" s="8" t="str">
        <f t="shared" si="22"/>
        <v>TILE_MAP_DIRECTION|7</v>
      </c>
      <c r="C97" s="9" t="s">
        <v>294</v>
      </c>
      <c r="D97" s="9" t="s">
        <v>302</v>
      </c>
      <c r="E97" s="9">
        <v>7</v>
      </c>
      <c r="F97" s="8" t="str">
        <f t="shared" si="23"/>
        <v>맵툴 사용 | B</v>
      </c>
      <c r="H97" s="9" t="s">
        <v>304</v>
      </c>
      <c r="I97" s="9" t="s">
        <v>302</v>
      </c>
      <c r="J97" s="9"/>
    </row>
    <row r="98" spans="2:10">
      <c r="B98" s="8" t="str">
        <f t="shared" si="22"/>
        <v>TILE_MAP_DIRECTION|8</v>
      </c>
      <c r="C98" s="9" t="s">
        <v>294</v>
      </c>
      <c r="D98" s="9" t="s">
        <v>303</v>
      </c>
      <c r="E98" s="9">
        <v>8</v>
      </c>
      <c r="F98" s="8" t="str">
        <f t="shared" si="23"/>
        <v>맵툴 사용 | RB</v>
      </c>
      <c r="H98" s="9" t="s">
        <v>304</v>
      </c>
      <c r="I98" s="9" t="s">
        <v>303</v>
      </c>
      <c r="J98" s="9"/>
    </row>
    <row r="99" spans="2:10">
      <c r="B99" s="8" t="str">
        <f t="shared" si="22"/>
        <v>Gate_GimmickType|0</v>
      </c>
      <c r="C99" s="9" t="s">
        <v>309</v>
      </c>
      <c r="D99" s="9" t="s">
        <v>100</v>
      </c>
      <c r="E99" s="9">
        <v>0</v>
      </c>
      <c r="F99" s="8" t="str">
        <f t="shared" ref="F99:F106" si="24">IF(H99="", "", H99&amp;IF(I99="", "", " | "&amp;I99)&amp;IF(J140="", "", " | "&amp;J140))</f>
        <v>게이트 기믹 타입 | Normal</v>
      </c>
      <c r="H99" s="9" t="s">
        <v>312</v>
      </c>
      <c r="I99" s="9" t="s">
        <v>100</v>
      </c>
      <c r="J99" s="9"/>
    </row>
    <row r="100" spans="2:10">
      <c r="B100" s="8" t="str">
        <f t="shared" si="22"/>
        <v>Gate_GimmickType|1</v>
      </c>
      <c r="C100" s="9" t="s">
        <v>309</v>
      </c>
      <c r="D100" s="9" t="s">
        <v>310</v>
      </c>
      <c r="E100" s="9">
        <v>1</v>
      </c>
      <c r="F100" s="8" t="str">
        <f t="shared" si="24"/>
        <v>게이트 기믹 타입 | Star</v>
      </c>
      <c r="H100" s="9" t="s">
        <v>312</v>
      </c>
      <c r="I100" s="9" t="s">
        <v>310</v>
      </c>
      <c r="J100" s="9"/>
    </row>
    <row r="101" spans="2:10">
      <c r="B101" s="8" t="str">
        <f t="shared" si="22"/>
        <v>Gate_GimmickType|2</v>
      </c>
      <c r="C101" s="9" t="s">
        <v>309</v>
      </c>
      <c r="D101" s="9" t="s">
        <v>155</v>
      </c>
      <c r="E101" s="9">
        <v>2</v>
      </c>
      <c r="F101" s="8" t="str">
        <f t="shared" si="24"/>
        <v>게이트 기믹 타입 | Door</v>
      </c>
      <c r="H101" s="9" t="s">
        <v>312</v>
      </c>
      <c r="I101" s="9" t="s">
        <v>155</v>
      </c>
      <c r="J101" s="9"/>
    </row>
    <row r="102" spans="2:10">
      <c r="B102" s="8" t="str">
        <f t="shared" si="22"/>
        <v>Gate_GimmickType|3</v>
      </c>
      <c r="C102" s="9" t="s">
        <v>309</v>
      </c>
      <c r="D102" s="9" t="s">
        <v>367</v>
      </c>
      <c r="E102" s="9">
        <v>3</v>
      </c>
      <c r="F102" s="8" t="str">
        <f t="shared" si="24"/>
        <v>게이트 기믹 타입 | Moving_Door_Lock</v>
      </c>
      <c r="H102" s="9" t="s">
        <v>312</v>
      </c>
      <c r="I102" s="9" t="s">
        <v>367</v>
      </c>
      <c r="J102" s="9"/>
    </row>
    <row r="103" spans="2:10">
      <c r="B103" s="8" t="str">
        <f t="shared" ref="B103" si="25">C103&amp;"|"&amp;E103</f>
        <v>Gate_GimmickType|4</v>
      </c>
      <c r="C103" s="9" t="s">
        <v>309</v>
      </c>
      <c r="D103" s="9" t="s">
        <v>368</v>
      </c>
      <c r="E103" s="9">
        <v>4</v>
      </c>
      <c r="F103" s="8" t="str">
        <f t="shared" si="24"/>
        <v>게이트 기믹 타입 | IceGate</v>
      </c>
      <c r="H103" s="9" t="s">
        <v>312</v>
      </c>
      <c r="I103" s="9" t="s">
        <v>368</v>
      </c>
      <c r="J103" s="9"/>
    </row>
    <row r="104" spans="2:10">
      <c r="B104" s="8" t="str">
        <f t="shared" ref="B104" si="26">C104&amp;"|"&amp;E104</f>
        <v>Gate_GimmickType|5</v>
      </c>
      <c r="C104" s="9" t="s">
        <v>309</v>
      </c>
      <c r="D104" s="9" t="s">
        <v>422</v>
      </c>
      <c r="E104" s="9">
        <v>5</v>
      </c>
      <c r="F104" s="8" t="str">
        <f t="shared" si="24"/>
        <v>게이트 기믹 타입 | ColorGate</v>
      </c>
      <c r="H104" s="9" t="s">
        <v>312</v>
      </c>
      <c r="I104" s="9" t="s">
        <v>422</v>
      </c>
      <c r="J104" s="9"/>
    </row>
    <row r="105" spans="2:10">
      <c r="B105" s="8" t="str">
        <f t="shared" ref="B105" si="27">C105&amp;"|"&amp;E105</f>
        <v>Gate_GimmickType|6</v>
      </c>
      <c r="C105" s="9" t="s">
        <v>309</v>
      </c>
      <c r="D105" s="9" t="s">
        <v>472</v>
      </c>
      <c r="E105" s="9">
        <v>6</v>
      </c>
      <c r="F105" s="8" t="str">
        <f t="shared" si="24"/>
        <v>게이트 기믹 타입 | Chain</v>
      </c>
      <c r="H105" s="9" t="s">
        <v>312</v>
      </c>
      <c r="I105" s="9" t="s">
        <v>472</v>
      </c>
      <c r="J105" s="9"/>
    </row>
    <row r="106" spans="2:10">
      <c r="B106" s="8" t="str">
        <f t="shared" ref="B106" si="28">C106&amp;"|"&amp;E106</f>
        <v>Gate_GimmickType|7</v>
      </c>
      <c r="C106" s="9" t="s">
        <v>309</v>
      </c>
      <c r="D106" s="9" t="s">
        <v>496</v>
      </c>
      <c r="E106" s="9">
        <v>7</v>
      </c>
      <c r="F106" s="8" t="str">
        <f t="shared" si="24"/>
        <v>게이트 기믹 타입 | SizeChanging</v>
      </c>
      <c r="H106" s="9" t="s">
        <v>312</v>
      </c>
      <c r="I106" s="9" t="s">
        <v>496</v>
      </c>
      <c r="J106" s="9"/>
    </row>
    <row r="107" spans="2:10">
      <c r="B107" s="8" t="str">
        <f t="shared" ref="B107:B108" si="29">C107&amp;"|"&amp;E107</f>
        <v>Gate_GimmickType|8</v>
      </c>
      <c r="C107" s="9" t="s">
        <v>309</v>
      </c>
      <c r="D107" s="9" t="s">
        <v>495</v>
      </c>
      <c r="E107" s="9">
        <v>8</v>
      </c>
      <c r="F107" s="8" t="str">
        <f t="shared" ref="F107:F108" si="30">IF(H107="", "", H107&amp;IF(I107="", "", " | "&amp;I107)&amp;IF(J148="", "", " | "&amp;J148))</f>
        <v>게이트 기믹 타입 | ColorSwitching</v>
      </c>
      <c r="H107" s="9" t="s">
        <v>312</v>
      </c>
      <c r="I107" s="9" t="s">
        <v>495</v>
      </c>
      <c r="J107" s="9"/>
    </row>
    <row r="108" spans="2:10">
      <c r="B108" s="8" t="str">
        <f t="shared" si="29"/>
        <v>Gate_GimmickType|9</v>
      </c>
      <c r="C108" s="9" t="s">
        <v>309</v>
      </c>
      <c r="D108" s="9" t="s">
        <v>497</v>
      </c>
      <c r="E108" s="9">
        <v>9</v>
      </c>
      <c r="F108" s="8" t="str">
        <f t="shared" si="30"/>
        <v>게이트 기믹 타입 | JumpingSingle</v>
      </c>
      <c r="H108" s="9" t="s">
        <v>312</v>
      </c>
      <c r="I108" s="9" t="s">
        <v>497</v>
      </c>
      <c r="J108" s="9"/>
    </row>
    <row r="109" spans="2:10">
      <c r="B109" s="8" t="str">
        <f t="shared" si="22"/>
        <v>Tile_GimmickType|0</v>
      </c>
      <c r="C109" s="9" t="s">
        <v>311</v>
      </c>
      <c r="D109" s="9" t="s">
        <v>100</v>
      </c>
      <c r="E109" s="9">
        <v>0</v>
      </c>
      <c r="F109" s="8" t="str">
        <f t="shared" ref="F109:F118" si="31">IF(H109="", "", H109&amp;IF(I109="", "", " | "&amp;I109)&amp;IF(J142="", "", " | "&amp;J142))</f>
        <v>타일 기믹 타입 | Normal</v>
      </c>
      <c r="H109" s="9" t="s">
        <v>313</v>
      </c>
      <c r="I109" s="9" t="s">
        <v>100</v>
      </c>
      <c r="J109" s="9"/>
    </row>
    <row r="110" spans="2:10">
      <c r="B110" s="8" t="str">
        <f t="shared" si="22"/>
        <v>Tile_GimmickType|1</v>
      </c>
      <c r="C110" s="9" t="s">
        <v>311</v>
      </c>
      <c r="D110" s="9" t="s">
        <v>189</v>
      </c>
      <c r="E110" s="9">
        <v>1</v>
      </c>
      <c r="F110" s="8" t="str">
        <f t="shared" si="31"/>
        <v>타일 기믹 타입 | Colorful</v>
      </c>
      <c r="H110" s="9" t="s">
        <v>313</v>
      </c>
      <c r="I110" s="9" t="s">
        <v>189</v>
      </c>
      <c r="J110" s="9"/>
    </row>
    <row r="111" spans="2:10">
      <c r="B111" s="8" t="str">
        <f t="shared" si="22"/>
        <v>BLOCK_GIMMICK_CATEGORY|0</v>
      </c>
      <c r="C111" s="9" t="s">
        <v>403</v>
      </c>
      <c r="D111" s="9" t="s">
        <v>41</v>
      </c>
      <c r="E111" s="9">
        <v>0</v>
      </c>
      <c r="F111" s="8" t="str">
        <f t="shared" si="31"/>
        <v>블럭 기믹 카테고리 | None</v>
      </c>
      <c r="H111" s="9" t="s">
        <v>404</v>
      </c>
      <c r="I111" s="9" t="s">
        <v>41</v>
      </c>
      <c r="J111" s="9"/>
    </row>
    <row r="112" spans="2:10">
      <c r="B112" s="8" t="str">
        <f t="shared" si="22"/>
        <v>BLOCK_GIMMICK_CATEGORY|1</v>
      </c>
      <c r="C112" s="9" t="s">
        <v>403</v>
      </c>
      <c r="D112" s="9" t="s">
        <v>405</v>
      </c>
      <c r="E112" s="9">
        <v>1</v>
      </c>
      <c r="F112" s="8" t="str">
        <f t="shared" si="31"/>
        <v>블럭 기믹 카테고리 | 특별히 분류 할 필요 없는 기믹</v>
      </c>
      <c r="H112" s="9" t="s">
        <v>404</v>
      </c>
      <c r="I112" s="9" t="s">
        <v>409</v>
      </c>
      <c r="J112" s="9"/>
    </row>
    <row r="113" spans="2:10">
      <c r="B113" s="8" t="str">
        <f t="shared" ref="B113:B114" si="32">C113&amp;"|"&amp;E113</f>
        <v>BLOCK_GIMMICK_CATEGORY|2</v>
      </c>
      <c r="C113" s="9" t="s">
        <v>403</v>
      </c>
      <c r="D113" s="9" t="s">
        <v>406</v>
      </c>
      <c r="E113" s="9">
        <v>2</v>
      </c>
      <c r="F113" s="8" t="str">
        <f t="shared" si="31"/>
        <v>블럭 기믹 카테고리 | 블럭이 나눠질 때 복사되면 안되는 기믹</v>
      </c>
      <c r="H113" s="9" t="s">
        <v>404</v>
      </c>
      <c r="I113" s="9" t="s">
        <v>410</v>
      </c>
      <c r="J113" s="9"/>
    </row>
    <row r="114" spans="2:10">
      <c r="B114" s="8" t="str">
        <f t="shared" si="32"/>
        <v>BLOCK_GIMMICK_CATEGORY|3</v>
      </c>
      <c r="C114" s="9" t="s">
        <v>403</v>
      </c>
      <c r="D114" s="9" t="s">
        <v>407</v>
      </c>
      <c r="E114" s="9">
        <v>3</v>
      </c>
      <c r="F114" s="8" t="str">
        <f t="shared" si="31"/>
        <v>블럭 기믹 카테고리 | 카운트를 사용하는 기믹</v>
      </c>
      <c r="H114" s="9" t="s">
        <v>404</v>
      </c>
      <c r="I114" s="9" t="s">
        <v>411</v>
      </c>
      <c r="J114" s="9"/>
    </row>
    <row r="115" spans="2:10">
      <c r="B115" s="8" t="str">
        <f t="shared" ref="B115:B116" si="33">C115&amp;"|"&amp;E115</f>
        <v>BLOCK_GIMMICK_CATEGORY|4</v>
      </c>
      <c r="C115" s="9" t="s">
        <v>403</v>
      </c>
      <c r="D115" s="9" t="s">
        <v>408</v>
      </c>
      <c r="E115" s="9">
        <v>4</v>
      </c>
      <c r="F115" s="8" t="str">
        <f t="shared" si="31"/>
        <v>블럭 기믹 카테고리 | 상태가 변하는 기믹</v>
      </c>
      <c r="H115" s="9" t="s">
        <v>404</v>
      </c>
      <c r="I115" s="9" t="s">
        <v>412</v>
      </c>
      <c r="J115" s="9"/>
    </row>
    <row r="116" spans="2:10">
      <c r="B116" s="8" t="str">
        <f t="shared" si="33"/>
        <v>CrateBlock_Type|0</v>
      </c>
      <c r="C116" s="9" t="s">
        <v>423</v>
      </c>
      <c r="D116" s="9" t="s">
        <v>180</v>
      </c>
      <c r="E116" s="9">
        <v>0</v>
      </c>
      <c r="F116" s="8" t="str">
        <f t="shared" si="31"/>
        <v>Crate 기믹 블록타입 | Square_1x1</v>
      </c>
      <c r="H116" s="9" t="s">
        <v>424</v>
      </c>
      <c r="I116" s="9" t="s">
        <v>180</v>
      </c>
      <c r="J116" s="9"/>
    </row>
    <row r="117" spans="2:10">
      <c r="B117" s="8" t="str">
        <f t="shared" ref="B117:B128" si="34">C117&amp;"|"&amp;E117</f>
        <v>CrateBlock_Type|1</v>
      </c>
      <c r="C117" s="9" t="s">
        <v>423</v>
      </c>
      <c r="D117" s="9" t="s">
        <v>181</v>
      </c>
      <c r="E117" s="9">
        <v>1</v>
      </c>
      <c r="F117" s="8" t="str">
        <f t="shared" si="31"/>
        <v>Crate 기믹 블록타입 | Square_1x2</v>
      </c>
      <c r="H117" s="9" t="s">
        <v>424</v>
      </c>
      <c r="I117" s="9" t="s">
        <v>425</v>
      </c>
      <c r="J117" s="9"/>
    </row>
    <row r="118" spans="2:10">
      <c r="B118" s="8" t="str">
        <f t="shared" ref="B118" si="35">C118&amp;"|"&amp;E118</f>
        <v>CrateBlock_Type|2</v>
      </c>
      <c r="C118" s="9" t="s">
        <v>423</v>
      </c>
      <c r="D118" s="9" t="s">
        <v>442</v>
      </c>
      <c r="E118" s="9">
        <v>2</v>
      </c>
      <c r="F118" s="8" t="str">
        <f t="shared" si="31"/>
        <v>Crate 기믹 블록타입 | Square_1x3</v>
      </c>
      <c r="H118" s="9" t="s">
        <v>424</v>
      </c>
      <c r="I118" s="9" t="s">
        <v>442</v>
      </c>
      <c r="J118" s="9"/>
    </row>
    <row r="119" spans="2:10">
      <c r="B119" s="8" t="str">
        <f t="shared" si="34"/>
        <v>CrateBlock_Type|3</v>
      </c>
      <c r="C119" s="9" t="s">
        <v>423</v>
      </c>
      <c r="D119" s="9" t="s">
        <v>183</v>
      </c>
      <c r="E119" s="9">
        <v>3</v>
      </c>
      <c r="F119" s="8" t="str">
        <f t="shared" ref="F119:F125" si="36">IF(H119="", "", H119&amp;IF(I119="", "", " | "&amp;I119)&amp;IF(J151="", "", " | "&amp;J151))</f>
        <v>Crate 기믹 블록타입 | Square_2x2</v>
      </c>
      <c r="H119" s="9" t="s">
        <v>424</v>
      </c>
      <c r="I119" s="9" t="s">
        <v>183</v>
      </c>
      <c r="J119" s="9"/>
    </row>
    <row r="120" spans="2:10">
      <c r="B120" s="8" t="str">
        <f t="shared" si="34"/>
        <v>CrateBlock_Type|4</v>
      </c>
      <c r="C120" s="9" t="s">
        <v>423</v>
      </c>
      <c r="D120" s="9" t="s">
        <v>426</v>
      </c>
      <c r="E120" s="9">
        <v>4</v>
      </c>
      <c r="F120" s="8" t="str">
        <f t="shared" si="36"/>
        <v>Crate 기믹 블록타입 | Square_2x3</v>
      </c>
      <c r="H120" s="9" t="s">
        <v>424</v>
      </c>
      <c r="I120" s="9" t="s">
        <v>426</v>
      </c>
      <c r="J120" s="9"/>
    </row>
    <row r="121" spans="2:10">
      <c r="B121" s="8" t="str">
        <f t="shared" si="34"/>
        <v>CrateBlock_Type|5</v>
      </c>
      <c r="C121" s="9" t="s">
        <v>423</v>
      </c>
      <c r="D121" s="9" t="s">
        <v>427</v>
      </c>
      <c r="E121" s="9">
        <v>5</v>
      </c>
      <c r="F121" s="8" t="str">
        <f t="shared" si="36"/>
        <v>Crate 기믹 블록타입 | Square_2x4</v>
      </c>
      <c r="H121" s="9" t="s">
        <v>424</v>
      </c>
      <c r="I121" s="9" t="s">
        <v>427</v>
      </c>
      <c r="J121" s="9"/>
    </row>
    <row r="122" spans="2:10">
      <c r="B122" s="8" t="str">
        <f t="shared" si="34"/>
        <v>CrateBlock_Type|6</v>
      </c>
      <c r="C122" s="9" t="s">
        <v>423</v>
      </c>
      <c r="D122" s="9" t="s">
        <v>430</v>
      </c>
      <c r="E122" s="9">
        <v>6</v>
      </c>
      <c r="F122" s="8" t="str">
        <f t="shared" si="36"/>
        <v>Crate 기믹 블록타입 | Square_2x5</v>
      </c>
      <c r="H122" s="9" t="s">
        <v>424</v>
      </c>
      <c r="I122" s="9" t="s">
        <v>430</v>
      </c>
      <c r="J122" s="9"/>
    </row>
    <row r="123" spans="2:10">
      <c r="B123" s="8" t="str">
        <f t="shared" si="34"/>
        <v>CrateBlock_Type|7</v>
      </c>
      <c r="C123" s="9" t="s">
        <v>423</v>
      </c>
      <c r="D123" s="9" t="s">
        <v>429</v>
      </c>
      <c r="E123" s="9">
        <v>7</v>
      </c>
      <c r="F123" s="8" t="str">
        <f t="shared" si="36"/>
        <v>Crate 기믹 블록타입 | Square_3x3</v>
      </c>
      <c r="H123" s="9" t="s">
        <v>424</v>
      </c>
      <c r="I123" s="9" t="s">
        <v>429</v>
      </c>
      <c r="J123" s="9"/>
    </row>
    <row r="124" spans="2:10">
      <c r="B124" s="8" t="str">
        <f t="shared" si="34"/>
        <v>CrateBlock_Type|8</v>
      </c>
      <c r="C124" s="9" t="s">
        <v>423</v>
      </c>
      <c r="D124" s="9" t="s">
        <v>428</v>
      </c>
      <c r="E124" s="9">
        <v>8</v>
      </c>
      <c r="F124" s="8" t="str">
        <f t="shared" si="36"/>
        <v>Crate 기믹 블록타입 | Square_3x4</v>
      </c>
      <c r="H124" s="9" t="s">
        <v>424</v>
      </c>
      <c r="I124" s="9" t="s">
        <v>428</v>
      </c>
      <c r="J124" s="9"/>
    </row>
    <row r="125" spans="2:10">
      <c r="B125" s="8" t="str">
        <f t="shared" si="34"/>
        <v>CrateBlock_Type|9</v>
      </c>
      <c r="C125" s="9" t="s">
        <v>423</v>
      </c>
      <c r="D125" s="9" t="s">
        <v>184</v>
      </c>
      <c r="E125" s="9">
        <v>9</v>
      </c>
      <c r="F125" s="8" t="str">
        <f t="shared" si="36"/>
        <v>Crate 기믹 블록타입 | Corner_2x2</v>
      </c>
      <c r="H125" s="9" t="s">
        <v>424</v>
      </c>
      <c r="I125" s="9" t="s">
        <v>184</v>
      </c>
      <c r="J125" s="9"/>
    </row>
    <row r="126" spans="2:10">
      <c r="B126" s="8" t="str">
        <f t="shared" si="34"/>
        <v>CrateBlock_Type|10</v>
      </c>
      <c r="C126" s="9" t="s">
        <v>423</v>
      </c>
      <c r="D126" s="9" t="s">
        <v>187</v>
      </c>
      <c r="E126" s="9">
        <v>10</v>
      </c>
      <c r="F126" s="8" t="str">
        <f t="shared" ref="F126:F129" si="37">IF(H126="", "", H126&amp;IF(I126="", "", " | "&amp;I126)&amp;IF(J159="", "", " | "&amp;J159))</f>
        <v>Crate 기믹 블록타입 | Corner_2x3</v>
      </c>
      <c r="H126" s="9" t="s">
        <v>424</v>
      </c>
      <c r="I126" s="9" t="s">
        <v>187</v>
      </c>
      <c r="J126" s="9"/>
    </row>
    <row r="127" spans="2:10">
      <c r="B127" s="8" t="str">
        <f t="shared" si="34"/>
        <v>CrateBlock_Type|11</v>
      </c>
      <c r="C127" s="9" t="s">
        <v>423</v>
      </c>
      <c r="D127" s="9" t="s">
        <v>306</v>
      </c>
      <c r="E127" s="9">
        <v>11</v>
      </c>
      <c r="F127" s="8" t="str">
        <f t="shared" si="37"/>
        <v>Crate 기믹 블록타입 | Corner_2x3_R</v>
      </c>
      <c r="H127" s="9" t="s">
        <v>424</v>
      </c>
      <c r="I127" s="9" t="s">
        <v>306</v>
      </c>
      <c r="J127" s="9"/>
    </row>
    <row r="128" spans="2:10">
      <c r="B128" s="8" t="str">
        <f t="shared" si="34"/>
        <v>CrateBlock_Type|12</v>
      </c>
      <c r="C128" s="9" t="s">
        <v>423</v>
      </c>
      <c r="D128" s="9" t="s">
        <v>431</v>
      </c>
      <c r="E128" s="9">
        <v>12</v>
      </c>
      <c r="F128" s="8" t="str">
        <f t="shared" si="37"/>
        <v>Crate 기믹 블록타입 | Corner_2x4</v>
      </c>
      <c r="H128" s="9" t="s">
        <v>424</v>
      </c>
      <c r="I128" s="9" t="s">
        <v>431</v>
      </c>
      <c r="J128" s="9"/>
    </row>
    <row r="129" spans="2:10">
      <c r="B129" s="8" t="str">
        <f t="shared" ref="B129:B135" si="38">C129&amp;"|"&amp;E129</f>
        <v>CrateBlock_Type|13</v>
      </c>
      <c r="C129" s="9" t="s">
        <v>423</v>
      </c>
      <c r="D129" s="9" t="s">
        <v>432</v>
      </c>
      <c r="E129" s="9">
        <v>13</v>
      </c>
      <c r="F129" s="8" t="str">
        <f t="shared" si="37"/>
        <v>Crate 기믹 블록타입 | Corner_2x4_R</v>
      </c>
      <c r="H129" s="9" t="s">
        <v>424</v>
      </c>
      <c r="I129" s="9" t="s">
        <v>432</v>
      </c>
      <c r="J129" s="9"/>
    </row>
    <row r="130" spans="2:10">
      <c r="B130" s="8" t="str">
        <f t="shared" ref="B130:B131" si="39">C130&amp;"|"&amp;E130</f>
        <v>CrateBlock_Type|14</v>
      </c>
      <c r="C130" s="9" t="s">
        <v>423</v>
      </c>
      <c r="D130" s="9" t="s">
        <v>441</v>
      </c>
      <c r="E130" s="9">
        <v>14</v>
      </c>
      <c r="F130" s="8" t="str">
        <f t="shared" ref="F130:F131" si="40">IF(H130="", "", H130&amp;IF(I130="", "", " | "&amp;I130)&amp;IF(J163="", "", " | "&amp;J163))</f>
        <v>Crate 기믹 블록타입 | Corner_3x4</v>
      </c>
      <c r="H130" s="9" t="s">
        <v>424</v>
      </c>
      <c r="I130" s="9" t="s">
        <v>441</v>
      </c>
      <c r="J130" s="9"/>
    </row>
    <row r="131" spans="2:10">
      <c r="B131" s="8" t="str">
        <f t="shared" si="39"/>
        <v>CrateBlock_Type|15</v>
      </c>
      <c r="C131" s="9" t="s">
        <v>423</v>
      </c>
      <c r="D131" s="9" t="s">
        <v>440</v>
      </c>
      <c r="E131" s="9">
        <v>15</v>
      </c>
      <c r="F131" s="8" t="str">
        <f t="shared" si="40"/>
        <v>Crate 기믹 블록타입 | Corner_3x4_R</v>
      </c>
      <c r="H131" s="9" t="s">
        <v>424</v>
      </c>
      <c r="I131" s="9" t="s">
        <v>440</v>
      </c>
      <c r="J131" s="9"/>
    </row>
    <row r="132" spans="2:10">
      <c r="B132" s="8" t="str">
        <f t="shared" si="38"/>
        <v>CrateBlock_Type|16</v>
      </c>
      <c r="C132" s="9" t="s">
        <v>423</v>
      </c>
      <c r="D132" s="9" t="s">
        <v>433</v>
      </c>
      <c r="E132" s="9">
        <v>16</v>
      </c>
      <c r="F132" s="8" t="str">
        <f t="shared" ref="F132:F135" si="41">IF(H132="", "", H132&amp;IF(I132="", "", " | "&amp;I132)&amp;IF(J163="", "", " | "&amp;J163))</f>
        <v>Crate 기믹 블록타입 | T_3x2</v>
      </c>
      <c r="H132" s="9" t="s">
        <v>424</v>
      </c>
      <c r="I132" s="9" t="s">
        <v>433</v>
      </c>
      <c r="J132" s="9"/>
    </row>
    <row r="133" spans="2:10">
      <c r="B133" s="8" t="str">
        <f t="shared" si="38"/>
        <v>CrateBlock_Type|17</v>
      </c>
      <c r="C133" s="9" t="s">
        <v>423</v>
      </c>
      <c r="D133" s="9" t="s">
        <v>434</v>
      </c>
      <c r="E133" s="9">
        <v>17</v>
      </c>
      <c r="F133" s="8" t="str">
        <f t="shared" si="41"/>
        <v>Crate 기믹 블록타입 | T_3x3</v>
      </c>
      <c r="H133" s="9" t="s">
        <v>424</v>
      </c>
      <c r="I133" s="9" t="s">
        <v>434</v>
      </c>
      <c r="J133" s="9"/>
    </row>
    <row r="134" spans="2:10">
      <c r="B134" s="8" t="str">
        <f t="shared" si="38"/>
        <v>CrateBlock_Type|18</v>
      </c>
      <c r="C134" s="9" t="s">
        <v>423</v>
      </c>
      <c r="D134" s="9" t="s">
        <v>185</v>
      </c>
      <c r="E134" s="9">
        <v>18</v>
      </c>
      <c r="F134" s="8" t="str">
        <f t="shared" si="41"/>
        <v>Crate 기믹 블록타입 | Cross_3x3</v>
      </c>
      <c r="H134" s="9" t="s">
        <v>424</v>
      </c>
      <c r="I134" s="9" t="s">
        <v>185</v>
      </c>
      <c r="J134" s="9"/>
    </row>
    <row r="135" spans="2:10">
      <c r="B135" s="8" t="str">
        <f t="shared" si="38"/>
        <v>CrateBlock_Type|19</v>
      </c>
      <c r="C135" s="9" t="s">
        <v>423</v>
      </c>
      <c r="D135" s="9" t="s">
        <v>435</v>
      </c>
      <c r="E135" s="9">
        <v>19</v>
      </c>
      <c r="F135" s="8" t="str">
        <f t="shared" si="41"/>
        <v>Crate 기믹 블록타입 | Cross_5x5</v>
      </c>
      <c r="H135" s="9" t="s">
        <v>424</v>
      </c>
      <c r="I135" s="9" t="s">
        <v>435</v>
      </c>
      <c r="J135" s="9"/>
    </row>
    <row r="136" spans="2:10">
      <c r="B136" s="8" t="str">
        <f t="shared" ref="B136:B137" si="42">C136&amp;"|"&amp;E136</f>
        <v>CrateBlock_Type|20</v>
      </c>
      <c r="C136" s="9" t="s">
        <v>423</v>
      </c>
      <c r="D136" s="9" t="s">
        <v>443</v>
      </c>
      <c r="E136" s="9">
        <v>20</v>
      </c>
      <c r="F136" s="8" t="str">
        <f t="shared" ref="F136:F137" si="43">IF(H136="", "", H136&amp;IF(I136="", "", " | "&amp;I136)&amp;IF(J167="", "", " | "&amp;J167))</f>
        <v>Crate 기믹 블록타입 | S_3x2</v>
      </c>
      <c r="H136" s="9" t="s">
        <v>424</v>
      </c>
      <c r="I136" s="9" t="s">
        <v>443</v>
      </c>
      <c r="J136" s="9"/>
    </row>
    <row r="137" spans="2:10">
      <c r="B137" s="8" t="str">
        <f t="shared" si="42"/>
        <v>CrateBlock_Type|21</v>
      </c>
      <c r="C137" s="9" t="s">
        <v>423</v>
      </c>
      <c r="D137" s="9" t="s">
        <v>444</v>
      </c>
      <c r="E137" s="9">
        <v>21</v>
      </c>
      <c r="F137" s="8" t="str">
        <f t="shared" si="43"/>
        <v>Crate 기믹 블록타입 | Z_3x2</v>
      </c>
      <c r="H137" s="9" t="s">
        <v>424</v>
      </c>
      <c r="I137" s="9" t="s">
        <v>444</v>
      </c>
      <c r="J137" s="9"/>
    </row>
    <row r="138" spans="2:10">
      <c r="B138" s="8"/>
      <c r="C138" s="9"/>
      <c r="D138" s="9"/>
      <c r="E138" s="9"/>
      <c r="F138" s="8"/>
      <c r="H138" s="9"/>
      <c r="I138" s="9"/>
      <c r="J138" s="9"/>
    </row>
    <row r="139" spans="2:10">
      <c r="B139" s="8"/>
      <c r="C139" s="9"/>
      <c r="D139" s="9"/>
      <c r="E139" s="9"/>
      <c r="F139" s="8"/>
      <c r="H139" s="9"/>
      <c r="I139" s="9"/>
      <c r="J139" s="9"/>
    </row>
    <row r="140" spans="2:10">
      <c r="B140" s="8"/>
      <c r="C140" s="9"/>
      <c r="D140" s="9"/>
      <c r="E140" s="9"/>
      <c r="F140" s="8"/>
      <c r="H140" s="9"/>
      <c r="I140" s="9"/>
      <c r="J140" s="9"/>
    </row>
    <row r="141" spans="2:10">
      <c r="B141" s="8"/>
      <c r="C141" s="9"/>
      <c r="D141" s="9"/>
      <c r="E141" s="9"/>
      <c r="F141" s="8"/>
      <c r="H141" s="9"/>
      <c r="I141" s="9"/>
      <c r="J141" s="9"/>
    </row>
    <row r="142" spans="2:10">
      <c r="B142" s="8"/>
      <c r="C142" s="9"/>
      <c r="D142" s="9"/>
      <c r="E142" s="9"/>
      <c r="F142" s="8"/>
      <c r="H142" s="9"/>
      <c r="I142" s="9"/>
      <c r="J142" s="9"/>
    </row>
    <row r="143" spans="2:10">
      <c r="B143" s="8"/>
      <c r="C143" s="9"/>
      <c r="D143" s="9"/>
      <c r="E143" s="9"/>
      <c r="F143" s="8"/>
      <c r="H143" s="9"/>
      <c r="I143" s="9"/>
      <c r="J143" s="9"/>
    </row>
    <row r="144" spans="2:10">
      <c r="B144" s="8"/>
      <c r="C144" s="9"/>
      <c r="D144" s="9"/>
      <c r="E144" s="9"/>
      <c r="F144" s="8"/>
      <c r="H144" s="9"/>
      <c r="I144" s="9"/>
      <c r="J144" s="9"/>
    </row>
    <row r="145" spans="2:10">
      <c r="B145" s="8"/>
      <c r="C145" s="9"/>
      <c r="D145" s="9"/>
      <c r="E145" s="9"/>
      <c r="F145" s="8"/>
      <c r="H145" s="9"/>
      <c r="I145" s="9"/>
      <c r="J145" s="9"/>
    </row>
    <row r="146" spans="2:10">
      <c r="B146" s="8"/>
      <c r="C146" s="9"/>
      <c r="D146" s="9"/>
      <c r="E146" s="9"/>
      <c r="F146" s="8"/>
      <c r="H146" s="9"/>
      <c r="I146" s="9"/>
      <c r="J146" s="9"/>
    </row>
    <row r="147" spans="2:10">
      <c r="B147" s="8"/>
      <c r="C147" s="9"/>
      <c r="D147" s="9"/>
      <c r="E147" s="9"/>
      <c r="F147" s="8"/>
      <c r="H147" s="9"/>
      <c r="I147" s="9"/>
      <c r="J147" s="9"/>
    </row>
    <row r="148" spans="2:10">
      <c r="B148" s="8"/>
      <c r="C148" s="9"/>
      <c r="D148" s="9"/>
      <c r="E148" s="9"/>
      <c r="F148" s="8"/>
      <c r="H148" s="9"/>
      <c r="I148" s="9"/>
      <c r="J148" s="9"/>
    </row>
    <row r="149" spans="2:10">
      <c r="B149" s="8"/>
      <c r="C149" s="9"/>
      <c r="D149" s="9"/>
      <c r="E149" s="9"/>
      <c r="F149" s="8"/>
      <c r="H149" s="9"/>
      <c r="I149" s="9"/>
      <c r="J149" s="9"/>
    </row>
    <row r="150" spans="2:10">
      <c r="B150" s="8"/>
      <c r="C150" s="9"/>
      <c r="D150" s="9"/>
      <c r="E150" s="9"/>
      <c r="F150" s="8"/>
      <c r="H150" s="9"/>
      <c r="I150" s="9"/>
      <c r="J150" s="9"/>
    </row>
    <row r="151" spans="2:10">
      <c r="B151" s="8"/>
      <c r="C151" s="9"/>
      <c r="D151" s="9"/>
      <c r="E151" s="9"/>
      <c r="F151" s="8"/>
      <c r="H151" s="9"/>
      <c r="I151" s="9"/>
      <c r="J151" s="9"/>
    </row>
    <row r="152" spans="2:10">
      <c r="B152" s="8"/>
      <c r="C152" s="9"/>
      <c r="D152" s="9"/>
      <c r="E152" s="9"/>
      <c r="F152" s="8"/>
      <c r="H152" s="9"/>
      <c r="I152" s="9"/>
      <c r="J152" s="9"/>
    </row>
    <row r="153" spans="2:10">
      <c r="B153" s="8"/>
      <c r="C153" s="9"/>
      <c r="D153" s="9"/>
      <c r="E153" s="9"/>
      <c r="F153" s="8"/>
      <c r="H153" s="9"/>
      <c r="I153" s="9"/>
      <c r="J153" s="9"/>
    </row>
    <row r="154" spans="2:10">
      <c r="B154" s="8"/>
      <c r="C154" s="9"/>
      <c r="D154" s="9"/>
      <c r="E154" s="9"/>
      <c r="F154" s="8"/>
      <c r="H154" s="9"/>
      <c r="I154" s="9"/>
      <c r="J154" s="9"/>
    </row>
    <row r="155" spans="2:10">
      <c r="B155" s="8"/>
      <c r="C155" s="9"/>
      <c r="D155" s="9"/>
      <c r="E155" s="9"/>
      <c r="F155" s="8"/>
      <c r="H155" s="9"/>
      <c r="I155" s="9"/>
      <c r="J155" s="9"/>
    </row>
    <row r="156" spans="2:10">
      <c r="B156" s="8"/>
      <c r="C156" s="9"/>
      <c r="D156" s="9"/>
      <c r="E156" s="9"/>
      <c r="F156" s="8"/>
      <c r="H156" s="9"/>
      <c r="I156" s="9"/>
      <c r="J156" s="9"/>
    </row>
    <row r="157" spans="2:10">
      <c r="B157" s="8"/>
      <c r="C157" s="9"/>
      <c r="D157" s="9"/>
      <c r="E157" s="9"/>
      <c r="F157" s="8"/>
      <c r="H157" s="9"/>
      <c r="I157" s="9"/>
      <c r="J157" s="9"/>
    </row>
    <row r="158" spans="2:10">
      <c r="B158" s="8"/>
      <c r="C158" s="9"/>
      <c r="D158" s="9"/>
      <c r="E158" s="9"/>
      <c r="F158" s="8"/>
      <c r="H158" s="9"/>
      <c r="I158" s="9"/>
      <c r="J158" s="9"/>
    </row>
    <row r="159" spans="2:10">
      <c r="B159" s="8"/>
      <c r="C159" s="9"/>
      <c r="D159" s="9"/>
      <c r="E159" s="9"/>
      <c r="F159" s="8"/>
      <c r="H159" s="9"/>
      <c r="I159" s="9"/>
      <c r="J159" s="9"/>
    </row>
    <row r="160" spans="2:10">
      <c r="B160" s="8"/>
      <c r="C160" s="9"/>
      <c r="D160" s="9"/>
      <c r="E160" s="9"/>
      <c r="F160" s="8"/>
      <c r="H160" s="9"/>
      <c r="I160" s="9"/>
      <c r="J160" s="9"/>
    </row>
    <row r="161" spans="2:10">
      <c r="B161" s="8"/>
      <c r="C161" s="9"/>
      <c r="D161" s="9"/>
      <c r="E161" s="9"/>
      <c r="F161" s="8"/>
      <c r="H161" s="9"/>
      <c r="I161" s="9"/>
      <c r="J161" s="9"/>
    </row>
    <row r="162" spans="2:10">
      <c r="B162" s="8"/>
      <c r="C162" s="9"/>
      <c r="D162" s="9"/>
      <c r="E162" s="9"/>
      <c r="F162" s="8"/>
      <c r="H162" s="9"/>
      <c r="I162" s="9"/>
      <c r="J162" s="9"/>
    </row>
    <row r="163" spans="2:10">
      <c r="B163" s="8"/>
      <c r="C163" s="9"/>
      <c r="D163" s="9"/>
      <c r="E163" s="9"/>
      <c r="F163" s="8"/>
      <c r="H163" s="9"/>
      <c r="I163" s="9"/>
      <c r="J163" s="9"/>
    </row>
    <row r="164" spans="2:10">
      <c r="B164" s="8"/>
      <c r="C164" s="9"/>
      <c r="D164" s="9"/>
      <c r="E164" s="9"/>
      <c r="F164" s="8"/>
      <c r="H164" s="9"/>
      <c r="I164" s="9"/>
      <c r="J164" s="9"/>
    </row>
    <row r="165" spans="2:10">
      <c r="B165" s="8"/>
      <c r="C165" s="9"/>
      <c r="D165" s="9"/>
      <c r="E165" s="9"/>
      <c r="F165" s="8"/>
      <c r="H165" s="9"/>
      <c r="I165" s="9"/>
      <c r="J165" s="9"/>
    </row>
    <row r="166" spans="2:10">
      <c r="B166" s="8"/>
      <c r="C166" s="9"/>
      <c r="D166" s="9"/>
      <c r="E166" s="9"/>
      <c r="F166" s="8"/>
      <c r="H166" s="9"/>
      <c r="I166" s="9"/>
      <c r="J166" s="9"/>
    </row>
    <row r="167" spans="2:10">
      <c r="B167" s="8"/>
      <c r="C167" s="9"/>
      <c r="D167" s="9"/>
      <c r="E167" s="9"/>
      <c r="F167" s="8"/>
      <c r="H167" s="9"/>
      <c r="I167" s="9"/>
      <c r="J167" s="9"/>
    </row>
    <row r="168" spans="2:10">
      <c r="B168" s="8"/>
      <c r="C168" s="9"/>
      <c r="D168" s="9"/>
      <c r="E168" s="9"/>
      <c r="F168" s="8"/>
      <c r="H168" s="9"/>
      <c r="I168" s="9"/>
      <c r="J168" s="9"/>
    </row>
    <row r="169" spans="2:10">
      <c r="B169" s="8"/>
      <c r="C169" s="9"/>
      <c r="D169" s="9"/>
      <c r="E169" s="9"/>
      <c r="F169" s="8"/>
      <c r="H169" s="9"/>
      <c r="I169" s="9"/>
      <c r="J169" s="9"/>
    </row>
    <row r="170" spans="2:10">
      <c r="B170" s="8"/>
      <c r="C170" s="9"/>
      <c r="D170" s="9"/>
      <c r="E170" s="9"/>
      <c r="F170" s="8"/>
      <c r="H170" s="9"/>
      <c r="I170" s="9"/>
      <c r="J170" s="9"/>
    </row>
    <row r="171" spans="2:10">
      <c r="B171" s="8"/>
      <c r="C171" s="9"/>
      <c r="D171" s="9"/>
      <c r="E171" s="9"/>
      <c r="F171" s="8"/>
      <c r="H171" s="9"/>
      <c r="I171" s="9"/>
      <c r="J171" s="9"/>
    </row>
    <row r="172" spans="2:10">
      <c r="B172" s="8"/>
      <c r="C172" s="9"/>
      <c r="D172" s="9"/>
      <c r="E172" s="9"/>
      <c r="F172" s="8"/>
      <c r="H172" s="9"/>
      <c r="I172" s="9"/>
      <c r="J172" s="9"/>
    </row>
    <row r="173" spans="2:10">
      <c r="B173" s="8"/>
      <c r="C173" s="9"/>
      <c r="D173" s="9"/>
      <c r="E173" s="9"/>
      <c r="F173" s="8"/>
      <c r="H173" s="9"/>
      <c r="I173" s="9"/>
      <c r="J173" s="9"/>
    </row>
    <row r="174" spans="2:10">
      <c r="B174" s="8"/>
      <c r="C174" s="9"/>
      <c r="D174" s="9"/>
      <c r="E174" s="9"/>
      <c r="F174" s="8"/>
      <c r="H174" s="9"/>
      <c r="I174" s="9"/>
      <c r="J174" s="9"/>
    </row>
    <row r="175" spans="2:10">
      <c r="B175" s="8"/>
      <c r="C175" s="9"/>
      <c r="D175" s="9"/>
      <c r="E175" s="9"/>
      <c r="F175" s="8"/>
      <c r="H175" s="9"/>
      <c r="I175" s="9"/>
      <c r="J175" s="9"/>
    </row>
    <row r="176" spans="2:10">
      <c r="B176" s="8"/>
      <c r="C176" s="9"/>
      <c r="D176" s="9"/>
      <c r="E176" s="9"/>
      <c r="F176" s="8"/>
      <c r="H176" s="9"/>
      <c r="I176" s="9"/>
      <c r="J176" s="9"/>
    </row>
    <row r="177" spans="2:10">
      <c r="B177" s="8"/>
      <c r="C177" s="9"/>
      <c r="D177" s="9"/>
      <c r="E177" s="9"/>
      <c r="F177" s="8"/>
      <c r="H177" s="9"/>
      <c r="I177" s="9"/>
      <c r="J177" s="9"/>
    </row>
    <row r="178" spans="2:10">
      <c r="B178" s="8"/>
      <c r="C178" s="9"/>
      <c r="D178" s="9"/>
      <c r="E178" s="9"/>
      <c r="F178" s="8"/>
      <c r="H178" s="9"/>
      <c r="I178" s="9"/>
      <c r="J178" s="9"/>
    </row>
    <row r="179" spans="2:10">
      <c r="B179" s="8"/>
      <c r="C179" s="9"/>
      <c r="D179" s="9"/>
      <c r="E179" s="9"/>
      <c r="F179" s="8"/>
      <c r="H179" s="9"/>
      <c r="I179" s="9"/>
      <c r="J179" s="9"/>
    </row>
    <row r="180" spans="2:10">
      <c r="B180" s="8"/>
      <c r="C180" s="9"/>
      <c r="D180" s="9"/>
      <c r="E180" s="9"/>
      <c r="F180" s="8"/>
      <c r="H180" s="9"/>
      <c r="I180" s="9"/>
      <c r="J180" s="9"/>
    </row>
    <row r="181" spans="2:10">
      <c r="B181" s="8"/>
      <c r="C181" s="9"/>
      <c r="D181" s="9"/>
      <c r="E181" s="9"/>
      <c r="F181" s="8"/>
      <c r="H181" s="9"/>
      <c r="I181" s="9"/>
      <c r="J181" s="9"/>
    </row>
    <row r="182" spans="2:10">
      <c r="B182" s="8"/>
      <c r="C182" s="9"/>
      <c r="D182" s="9"/>
      <c r="E182" s="9"/>
      <c r="F182" s="8"/>
      <c r="H182" s="9"/>
      <c r="I182" s="9"/>
      <c r="J182" s="9"/>
    </row>
    <row r="183" spans="2:10">
      <c r="B183" s="8"/>
      <c r="C183" s="9"/>
      <c r="D183" s="9"/>
      <c r="E183" s="9"/>
      <c r="F183" s="8"/>
      <c r="H183" s="9"/>
      <c r="I183" s="9"/>
      <c r="J183" s="9"/>
    </row>
    <row r="184" spans="2:10">
      <c r="B184" s="8"/>
      <c r="C184" s="9"/>
      <c r="D184" s="9"/>
      <c r="E184" s="9"/>
      <c r="F184" s="8"/>
      <c r="H184" s="9"/>
      <c r="I184" s="9"/>
      <c r="J184" s="9"/>
    </row>
    <row r="185" spans="2:10">
      <c r="B185" s="8"/>
      <c r="C185" s="9"/>
      <c r="D185" s="9"/>
      <c r="E185" s="9"/>
      <c r="F185" s="8"/>
      <c r="H185" s="9"/>
      <c r="I185" s="9"/>
      <c r="J185" s="9"/>
    </row>
    <row r="186" spans="2:10">
      <c r="B186" s="8"/>
      <c r="C186" s="9"/>
      <c r="D186" s="9"/>
      <c r="E186" s="9"/>
      <c r="F186" s="8"/>
      <c r="H186" s="9"/>
      <c r="I186" s="9"/>
      <c r="J186" s="9"/>
    </row>
    <row r="187" spans="2:10">
      <c r="B187" s="8"/>
      <c r="C187" s="9"/>
      <c r="D187" s="9"/>
      <c r="E187" s="9"/>
      <c r="F187" s="8"/>
      <c r="H187" s="9"/>
      <c r="I187" s="9"/>
      <c r="J187" s="9"/>
    </row>
    <row r="188" spans="2:10">
      <c r="B188" s="8"/>
      <c r="C188" s="9"/>
      <c r="D188" s="9"/>
      <c r="E188" s="9"/>
      <c r="F188" s="8"/>
      <c r="H188" s="9"/>
      <c r="I188" s="9"/>
      <c r="J188" s="9"/>
    </row>
    <row r="189" spans="2:10">
      <c r="B189" s="8"/>
      <c r="C189" s="9"/>
      <c r="D189" s="9"/>
      <c r="E189" s="9"/>
      <c r="F189" s="8"/>
      <c r="H189" s="9"/>
      <c r="I189" s="9"/>
      <c r="J189" s="9"/>
    </row>
    <row r="190" spans="2:10">
      <c r="B190" s="8"/>
      <c r="C190" s="9"/>
      <c r="D190" s="9"/>
      <c r="E190" s="9"/>
      <c r="F190" s="8"/>
      <c r="H190" s="9"/>
      <c r="I190" s="9"/>
      <c r="J190" s="9"/>
    </row>
    <row r="191" spans="2:10">
      <c r="B191" s="8"/>
      <c r="C191" s="9"/>
      <c r="D191" s="9"/>
      <c r="E191" s="9"/>
      <c r="F191" s="8"/>
      <c r="H191" s="9"/>
      <c r="I191" s="9"/>
      <c r="J191" s="9"/>
    </row>
    <row r="192" spans="2:10">
      <c r="B192" s="8"/>
      <c r="C192" s="9"/>
      <c r="D192" s="9"/>
      <c r="E192" s="9"/>
      <c r="F192" s="8"/>
      <c r="H192" s="9"/>
      <c r="I192" s="9"/>
      <c r="J192" s="9"/>
    </row>
    <row r="193" spans="2:10">
      <c r="B193" s="8"/>
      <c r="C193" s="9"/>
      <c r="D193" s="9"/>
      <c r="E193" s="9"/>
      <c r="F193" s="8"/>
      <c r="H193" s="9"/>
      <c r="I193" s="9"/>
      <c r="J193" s="9"/>
    </row>
    <row r="194" spans="2:10">
      <c r="B194" s="8"/>
      <c r="C194" s="9"/>
      <c r="D194" s="9"/>
      <c r="E194" s="9"/>
      <c r="F194" s="8"/>
      <c r="H194" s="9"/>
      <c r="I194" s="9"/>
      <c r="J194" s="9"/>
    </row>
    <row r="195" spans="2:10">
      <c r="B195" s="8"/>
      <c r="C195" s="9"/>
      <c r="D195" s="9"/>
      <c r="E195" s="9"/>
      <c r="F195" s="8"/>
      <c r="H195" s="9"/>
      <c r="I195" s="9"/>
      <c r="J195" s="9"/>
    </row>
    <row r="196" spans="2:10">
      <c r="B196" s="8"/>
      <c r="C196" s="9"/>
      <c r="D196" s="9"/>
      <c r="E196" s="9"/>
      <c r="F196" s="8"/>
      <c r="H196" s="9"/>
      <c r="I196" s="9"/>
      <c r="J196" s="9"/>
    </row>
    <row r="197" spans="2:10">
      <c r="B197" s="8"/>
      <c r="C197" s="9"/>
      <c r="D197" s="9"/>
      <c r="E197" s="9"/>
      <c r="F197" s="8"/>
      <c r="H197" s="9"/>
      <c r="I197" s="9"/>
      <c r="J197" s="9"/>
    </row>
    <row r="198" spans="2:10">
      <c r="B198" s="8"/>
      <c r="C198" s="9"/>
      <c r="D198" s="9"/>
      <c r="E198" s="9"/>
      <c r="F198" s="8"/>
      <c r="H198" s="9"/>
      <c r="I198" s="9"/>
      <c r="J198" s="9"/>
    </row>
    <row r="199" spans="2:10">
      <c r="B199" s="8"/>
      <c r="C199" s="9"/>
      <c r="D199" s="9"/>
      <c r="E199" s="9"/>
      <c r="F199" s="8"/>
      <c r="H199" s="9"/>
      <c r="I199" s="9"/>
      <c r="J199" s="9"/>
    </row>
    <row r="200" spans="2:10">
      <c r="B200" s="8"/>
      <c r="C200" s="9"/>
      <c r="D200" s="9"/>
      <c r="E200" s="9"/>
      <c r="F200" s="8"/>
      <c r="H200" s="9"/>
      <c r="I200" s="9"/>
      <c r="J200" s="9"/>
    </row>
    <row r="201" spans="2:10">
      <c r="B201" s="8"/>
      <c r="C201" s="9"/>
      <c r="D201" s="9"/>
      <c r="E201" s="9"/>
      <c r="F201" s="8"/>
      <c r="H201" s="9"/>
      <c r="I201" s="9"/>
      <c r="J201" s="9"/>
    </row>
    <row r="202" spans="2:10">
      <c r="B202" s="8"/>
      <c r="C202" s="9"/>
      <c r="D202" s="9"/>
      <c r="E202" s="9"/>
      <c r="F202" s="8"/>
      <c r="H202" s="9"/>
      <c r="I202" s="9"/>
      <c r="J202" s="9"/>
    </row>
    <row r="203" spans="2:10">
      <c r="B203" s="8"/>
      <c r="C203" s="9"/>
      <c r="D203" s="9"/>
      <c r="E203" s="9"/>
      <c r="F203" s="8"/>
      <c r="H203" s="9"/>
      <c r="I203" s="9"/>
      <c r="J203" s="9"/>
    </row>
    <row r="204" spans="2:10">
      <c r="B204" s="8"/>
      <c r="C204" s="9"/>
      <c r="D204" s="9"/>
      <c r="E204" s="9"/>
      <c r="F204" s="8"/>
      <c r="H204" s="9"/>
      <c r="I204" s="9"/>
      <c r="J204" s="9"/>
    </row>
    <row r="205" spans="2:10">
      <c r="B205" s="8"/>
      <c r="C205" s="9"/>
      <c r="D205" s="9"/>
      <c r="E205" s="9"/>
      <c r="F205" s="8"/>
      <c r="H205" s="9"/>
      <c r="I205" s="9"/>
      <c r="J205" s="9"/>
    </row>
    <row r="206" spans="2:10">
      <c r="B206" s="8"/>
      <c r="C206" s="9"/>
      <c r="D206" s="9"/>
      <c r="E206" s="9"/>
      <c r="F206" s="8"/>
      <c r="H206" s="9"/>
      <c r="I206" s="9"/>
      <c r="J206" s="9"/>
    </row>
    <row r="207" spans="2:10">
      <c r="B207" s="8"/>
      <c r="C207" s="9"/>
      <c r="D207" s="9"/>
      <c r="E207" s="9"/>
      <c r="F207" s="8"/>
      <c r="H207" s="9"/>
      <c r="I207" s="9"/>
      <c r="J207" s="9"/>
    </row>
    <row r="208" spans="2:10">
      <c r="B208" s="8"/>
      <c r="C208" s="9"/>
      <c r="D208" s="9"/>
      <c r="E208" s="9"/>
      <c r="F208" s="8"/>
      <c r="H208" s="9"/>
      <c r="I208" s="9"/>
      <c r="J208" s="9"/>
    </row>
    <row r="209" spans="2:10">
      <c r="B209" s="8"/>
      <c r="C209" s="9"/>
      <c r="D209" s="9"/>
      <c r="E209" s="9"/>
      <c r="F209" s="8"/>
      <c r="H209" s="9"/>
      <c r="I209" s="9"/>
      <c r="J209" s="9"/>
    </row>
    <row r="210" spans="2:10">
      <c r="B210" s="8"/>
      <c r="C210" s="9"/>
      <c r="D210" s="9"/>
      <c r="E210" s="9"/>
      <c r="F210" s="8"/>
      <c r="H210" s="9"/>
      <c r="I210" s="9"/>
      <c r="J210" s="9"/>
    </row>
    <row r="211" spans="2:10">
      <c r="B211" s="8"/>
      <c r="C211" s="9"/>
      <c r="D211" s="9"/>
      <c r="E211" s="9"/>
      <c r="F211" s="8"/>
      <c r="H211" s="9"/>
      <c r="I211" s="9"/>
      <c r="J211" s="9"/>
    </row>
    <row r="212" spans="2:10">
      <c r="B212" s="8"/>
      <c r="C212" s="9"/>
      <c r="D212" s="9"/>
      <c r="E212" s="9"/>
      <c r="F212" s="8"/>
      <c r="H212" s="9"/>
      <c r="I212" s="9"/>
      <c r="J212" s="9"/>
    </row>
    <row r="213" spans="2:10">
      <c r="B213" s="8"/>
      <c r="C213" s="9"/>
      <c r="D213" s="9"/>
      <c r="E213" s="9"/>
      <c r="F213" s="8"/>
      <c r="H213" s="9"/>
      <c r="I213" s="9"/>
      <c r="J213" s="9"/>
    </row>
    <row r="214" spans="2:10">
      <c r="B214" s="8"/>
      <c r="C214" s="9"/>
      <c r="D214" s="9"/>
      <c r="E214" s="9"/>
      <c r="F214" s="8"/>
      <c r="H214" s="9"/>
      <c r="I214" s="9"/>
      <c r="J214" s="9"/>
    </row>
    <row r="215" spans="2:10">
      <c r="B215" s="8"/>
      <c r="C215" s="9"/>
      <c r="D215" s="9"/>
      <c r="E215" s="9"/>
      <c r="F215" s="8"/>
      <c r="H215" s="9"/>
      <c r="I215" s="9"/>
      <c r="J215" s="9"/>
    </row>
    <row r="216" spans="2:10">
      <c r="B216" s="8"/>
      <c r="C216" s="9"/>
      <c r="D216" s="9"/>
      <c r="E216" s="9"/>
      <c r="F216" s="8"/>
      <c r="H216" s="9"/>
      <c r="I216" s="9"/>
      <c r="J216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96CC-169D-524C-B2EA-F31320D2723A}">
  <dimension ref="A2:J84"/>
  <sheetViews>
    <sheetView zoomScale="115" zoomScaleNormal="11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F33" sqref="F33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31" si="0">C5&amp;"|"&amp;E5</f>
        <v>AD_FORMAT|0</v>
      </c>
      <c r="C5" s="9" t="s">
        <v>82</v>
      </c>
      <c r="D5" s="9" t="s">
        <v>76</v>
      </c>
      <c r="E5" s="9">
        <v>0</v>
      </c>
      <c r="F5" s="8" t="str">
        <f t="shared" ref="F5:F11" si="1">IF(H5="", "", H5&amp;IF(I5="", "", " | "&amp;I5)&amp;IF(J65="", "", " | "&amp;J65))</f>
        <v>광고종류 | 보상형 광고</v>
      </c>
      <c r="H5" s="9" t="s">
        <v>83</v>
      </c>
      <c r="I5" s="9" t="s">
        <v>77</v>
      </c>
      <c r="J5" s="9"/>
    </row>
    <row r="6" spans="1:10">
      <c r="B6" s="8" t="str">
        <f t="shared" si="0"/>
        <v>AD_FORMAT|1</v>
      </c>
      <c r="C6" s="9" t="s">
        <v>82</v>
      </c>
      <c r="D6" s="9" t="s">
        <v>78</v>
      </c>
      <c r="E6" s="9">
        <v>1</v>
      </c>
      <c r="F6" s="8" t="str">
        <f t="shared" si="1"/>
        <v>광고종류 | 전면 광고</v>
      </c>
      <c r="H6" s="9" t="s">
        <v>83</v>
      </c>
      <c r="I6" s="9" t="s">
        <v>79</v>
      </c>
      <c r="J6" s="9"/>
    </row>
    <row r="7" spans="1:10">
      <c r="B7" s="8" t="str">
        <f t="shared" si="0"/>
        <v>AD_FORMAT|2</v>
      </c>
      <c r="C7" s="9" t="s">
        <v>82</v>
      </c>
      <c r="D7" s="9" t="s">
        <v>80</v>
      </c>
      <c r="E7" s="9">
        <v>2</v>
      </c>
      <c r="F7" s="8" t="str">
        <f t="shared" si="1"/>
        <v>광고종류 | 배너 광고</v>
      </c>
      <c r="H7" s="9" t="s">
        <v>83</v>
      </c>
      <c r="I7" s="9" t="s">
        <v>81</v>
      </c>
      <c r="J7" s="9"/>
    </row>
    <row r="8" spans="1:10">
      <c r="B8" s="8" t="str">
        <f t="shared" si="0"/>
        <v>ADS_TYPE|0</v>
      </c>
      <c r="C8" s="9" t="s">
        <v>65</v>
      </c>
      <c r="D8" s="9" t="s">
        <v>68</v>
      </c>
      <c r="E8" s="9">
        <v>0</v>
      </c>
      <c r="F8" s="8" t="str">
        <f t="shared" si="1"/>
        <v>광고타입 | 기본 보상형광고</v>
      </c>
      <c r="H8" s="9" t="s">
        <v>67</v>
      </c>
      <c r="I8" s="9" t="s">
        <v>69</v>
      </c>
      <c r="J8" s="9"/>
    </row>
    <row r="9" spans="1:10">
      <c r="B9" s="8" t="str">
        <f t="shared" si="0"/>
        <v>ADS_TYPE|1</v>
      </c>
      <c r="C9" s="9" t="s">
        <v>65</v>
      </c>
      <c r="D9" s="9" t="s">
        <v>73</v>
      </c>
      <c r="E9" s="9">
        <v>1</v>
      </c>
      <c r="F9" s="8" t="str">
        <f t="shared" si="1"/>
        <v>광고타입 | 기본 전면광고</v>
      </c>
      <c r="H9" s="9" t="s">
        <v>67</v>
      </c>
      <c r="I9" s="9" t="s">
        <v>70</v>
      </c>
      <c r="J9" s="9"/>
    </row>
    <row r="10" spans="1:10">
      <c r="B10" s="8" t="str">
        <f t="shared" si="0"/>
        <v>ADS_TYPE|2</v>
      </c>
      <c r="C10" s="9" t="s">
        <v>65</v>
      </c>
      <c r="D10" s="9" t="s">
        <v>74</v>
      </c>
      <c r="E10" s="9">
        <v>2</v>
      </c>
      <c r="F10" s="8" t="str">
        <f t="shared" si="1"/>
        <v>광고타입 | 기본 배너광고</v>
      </c>
      <c r="H10" s="9" t="s">
        <v>67</v>
      </c>
      <c r="I10" s="9" t="s">
        <v>71</v>
      </c>
      <c r="J10" s="9"/>
    </row>
    <row r="11" spans="1:10">
      <c r="B11" s="8" t="str">
        <f t="shared" si="0"/>
        <v>ADS_TYPE|3</v>
      </c>
      <c r="C11" s="9" t="s">
        <v>65</v>
      </c>
      <c r="D11" s="9" t="s">
        <v>66</v>
      </c>
      <c r="E11" s="9">
        <v>3</v>
      </c>
      <c r="F11" s="8" t="str">
        <f t="shared" si="1"/>
        <v>광고타입 | 출석 추가 보상</v>
      </c>
      <c r="H11" s="9" t="s">
        <v>67</v>
      </c>
      <c r="I11" s="9" t="s">
        <v>72</v>
      </c>
      <c r="J11" s="9"/>
    </row>
    <row r="12" spans="1:10">
      <c r="B12" s="8" t="str">
        <f t="shared" si="0"/>
        <v>ADS_TYPE|4</v>
      </c>
      <c r="C12" s="9" t="s">
        <v>65</v>
      </c>
      <c r="D12" s="9" t="s">
        <v>75</v>
      </c>
      <c r="E12" s="9">
        <v>4</v>
      </c>
      <c r="F12" s="8" t="str">
        <f>IF(H12="", "", H12&amp;IF(I12="", "", " | "&amp;I12)&amp;IF(J76="", "", " | "&amp;J76))</f>
        <v>광고타입 | 인게임 스테이지 클리어 Segment 1</v>
      </c>
      <c r="H12" s="9" t="s">
        <v>67</v>
      </c>
      <c r="I12" s="9" t="s">
        <v>490</v>
      </c>
      <c r="J12" s="9"/>
    </row>
    <row r="13" spans="1:10">
      <c r="B13" s="8" t="str">
        <f t="shared" si="0"/>
        <v>ADS_TYPE|5</v>
      </c>
      <c r="C13" s="9" t="s">
        <v>158</v>
      </c>
      <c r="D13" s="9" t="s">
        <v>159</v>
      </c>
      <c r="E13" s="9">
        <v>5</v>
      </c>
      <c r="F13" s="8" t="str">
        <f t="shared" ref="F13:F21" si="2">IF(H13="", "", H13&amp;IF(I13="", "", " | "&amp;I13)&amp;IF(J79="", "", " | "&amp;J79))</f>
        <v>광고타입 | 체류 시간 Segment 1</v>
      </c>
      <c r="H13" s="9" t="s">
        <v>160</v>
      </c>
      <c r="I13" s="9" t="s">
        <v>491</v>
      </c>
      <c r="J13" s="9"/>
    </row>
    <row r="14" spans="1:10">
      <c r="B14" s="8" t="str">
        <f t="shared" si="0"/>
        <v>ADS_TYPE|6</v>
      </c>
      <c r="C14" s="9" t="s">
        <v>158</v>
      </c>
      <c r="D14" s="9" t="s">
        <v>161</v>
      </c>
      <c r="E14" s="9">
        <v>6</v>
      </c>
      <c r="F14" s="8" t="str">
        <f t="shared" si="2"/>
        <v>광고타입 | 로비 하트 광고</v>
      </c>
      <c r="H14" s="9" t="s">
        <v>160</v>
      </c>
      <c r="I14" s="9" t="s">
        <v>162</v>
      </c>
      <c r="J14" s="9"/>
    </row>
    <row r="15" spans="1:10">
      <c r="B15" s="8" t="str">
        <f t="shared" si="0"/>
        <v>ADS_TYPE|7</v>
      </c>
      <c r="C15" s="9" t="s">
        <v>158</v>
      </c>
      <c r="D15" s="9" t="s">
        <v>163</v>
      </c>
      <c r="E15" s="9">
        <v>7</v>
      </c>
      <c r="F15" s="8" t="str">
        <f t="shared" si="2"/>
        <v>광고타입 | 인게임 추가보상</v>
      </c>
      <c r="H15" s="9" t="s">
        <v>160</v>
      </c>
      <c r="I15" s="9" t="s">
        <v>164</v>
      </c>
      <c r="J15" s="9"/>
    </row>
    <row r="16" spans="1:10">
      <c r="B16" s="8" t="str">
        <f t="shared" si="0"/>
        <v>ADS_TYPE|8</v>
      </c>
      <c r="C16" s="9" t="s">
        <v>158</v>
      </c>
      <c r="D16" s="9" t="s">
        <v>315</v>
      </c>
      <c r="E16" s="9">
        <v>8</v>
      </c>
      <c r="F16" s="8" t="str">
        <f t="shared" si="2"/>
        <v>광고타입 | 상점 코인 무료 보상</v>
      </c>
      <c r="H16" s="9" t="s">
        <v>160</v>
      </c>
      <c r="I16" s="9" t="s">
        <v>316</v>
      </c>
      <c r="J16" s="9"/>
    </row>
    <row r="17" spans="2:10">
      <c r="B17" s="8" t="str">
        <f t="shared" ref="B17" si="3">C17&amp;"|"&amp;E17</f>
        <v>ADS_TYPE|9</v>
      </c>
      <c r="C17" s="9" t="s">
        <v>65</v>
      </c>
      <c r="D17" s="9" t="s">
        <v>486</v>
      </c>
      <c r="E17" s="9">
        <v>9</v>
      </c>
      <c r="F17" s="8" t="str">
        <f t="shared" si="2"/>
        <v>광고타입 | 인게임 스테이지 클리어 Segment 2</v>
      </c>
      <c r="H17" s="9" t="s">
        <v>67</v>
      </c>
      <c r="I17" s="9" t="s">
        <v>488</v>
      </c>
      <c r="J17" s="9"/>
    </row>
    <row r="18" spans="2:10">
      <c r="B18" s="8" t="str">
        <f t="shared" ref="B18:B19" si="4">C18&amp;"|"&amp;E18</f>
        <v>ADS_TYPE|10</v>
      </c>
      <c r="C18" s="9" t="s">
        <v>65</v>
      </c>
      <c r="D18" s="9" t="s">
        <v>487</v>
      </c>
      <c r="E18" s="9">
        <v>10</v>
      </c>
      <c r="F18" s="8" t="str">
        <f t="shared" si="2"/>
        <v>광고타입 | 체류 시간 Segment 2</v>
      </c>
      <c r="H18" s="9" t="s">
        <v>67</v>
      </c>
      <c r="I18" s="9" t="s">
        <v>489</v>
      </c>
      <c r="J18" s="9"/>
    </row>
    <row r="19" spans="2:10">
      <c r="B19" s="8" t="str">
        <f t="shared" si="4"/>
        <v>ADS_TYPE|11</v>
      </c>
      <c r="C19" s="9" t="s">
        <v>65</v>
      </c>
      <c r="D19" s="9" t="s">
        <v>528</v>
      </c>
      <c r="E19" s="9">
        <v>11</v>
      </c>
      <c r="F19" s="8" t="str">
        <f t="shared" si="2"/>
        <v>광고타입 | 인게임 이어하기 광고</v>
      </c>
      <c r="H19" s="9" t="s">
        <v>67</v>
      </c>
      <c r="I19" s="9" t="s">
        <v>529</v>
      </c>
      <c r="J19" s="9"/>
    </row>
    <row r="20" spans="2:10">
      <c r="B20" s="8" t="str">
        <f t="shared" ref="B20" si="5">C20&amp;"|"&amp;E20</f>
        <v>ADS_TYPE|12</v>
      </c>
      <c r="C20" s="9" t="s">
        <v>65</v>
      </c>
      <c r="D20" s="9" t="s">
        <v>536</v>
      </c>
      <c r="E20" s="9">
        <v>12</v>
      </c>
      <c r="F20" s="8" t="str">
        <f t="shared" si="2"/>
        <v>광고타입 | 인게임 스테이지 클리어 Segment 3</v>
      </c>
      <c r="H20" s="9" t="s">
        <v>67</v>
      </c>
      <c r="I20" s="9" t="s">
        <v>538</v>
      </c>
      <c r="J20" s="9"/>
    </row>
    <row r="21" spans="2:10">
      <c r="B21" s="8" t="str">
        <f t="shared" ref="B21" si="6">C21&amp;"|"&amp;E21</f>
        <v>ADS_TYPE|13</v>
      </c>
      <c r="C21" s="9" t="s">
        <v>65</v>
      </c>
      <c r="D21" s="9" t="s">
        <v>537</v>
      </c>
      <c r="E21" s="9">
        <v>13</v>
      </c>
      <c r="F21" s="8" t="str">
        <f t="shared" si="2"/>
        <v>광고타입 | 체류 시간 Segment 3</v>
      </c>
      <c r="H21" s="9" t="s">
        <v>67</v>
      </c>
      <c r="I21" s="9" t="s">
        <v>539</v>
      </c>
      <c r="J21" s="9"/>
    </row>
    <row r="22" spans="2:10">
      <c r="B22" s="8" t="str">
        <f t="shared" si="0"/>
        <v>CONDITIONCHECKER_TYPE|0</v>
      </c>
      <c r="C22" s="9" t="s">
        <v>86</v>
      </c>
      <c r="D22" s="9" t="s">
        <v>91</v>
      </c>
      <c r="E22" s="9">
        <v>0</v>
      </c>
      <c r="F22" s="8" t="str">
        <f>IF(H22="", "", H22&amp;IF(I22="", "", " | "&amp;I22)&amp;IF(J79="", "", " | "&amp;J79))</f>
        <v>컨디션 체커 | 전면 광고 조건 체크</v>
      </c>
      <c r="H22" s="9" t="s">
        <v>87</v>
      </c>
      <c r="I22" s="9" t="s">
        <v>88</v>
      </c>
      <c r="J22" s="9"/>
    </row>
    <row r="23" spans="2:10">
      <c r="B23" s="8" t="str">
        <f t="shared" si="0"/>
        <v>CONDITIONCHECKER_TYPE|1</v>
      </c>
      <c r="C23" s="9" t="s">
        <v>86</v>
      </c>
      <c r="D23" s="9" t="s">
        <v>89</v>
      </c>
      <c r="E23" s="9">
        <v>1</v>
      </c>
      <c r="F23" s="8" t="str">
        <f>IF(H23="", "", H23&amp;IF(I23="", "", " | "&amp;I23)&amp;IF(J80="", "", " | "&amp;J80))</f>
        <v>컨디션 체커 | 스테이지 클리어 체크</v>
      </c>
      <c r="H23" s="9" t="s">
        <v>87</v>
      </c>
      <c r="I23" s="9" t="s">
        <v>93</v>
      </c>
      <c r="J23" s="9"/>
    </row>
    <row r="24" spans="2:10">
      <c r="B24" s="8" t="str">
        <f t="shared" si="0"/>
        <v>CONDITIONCHECKER_TYPE|2</v>
      </c>
      <c r="C24" s="9" t="s">
        <v>86</v>
      </c>
      <c r="D24" s="9" t="s">
        <v>90</v>
      </c>
      <c r="E24" s="9">
        <v>2</v>
      </c>
      <c r="F24" s="8" t="str">
        <f>IF(H24="", "", H24&amp;IF(I24="", "", " | "&amp;I24)&amp;IF(J81="", "", " | "&amp;J81))</f>
        <v>컨디션 체커 | 출석 보상 획득 체크</v>
      </c>
      <c r="H24" s="9" t="s">
        <v>87</v>
      </c>
      <c r="I24" s="9" t="s">
        <v>92</v>
      </c>
      <c r="J24" s="9"/>
    </row>
    <row r="25" spans="2:10">
      <c r="B25" s="8" t="str">
        <f t="shared" si="0"/>
        <v>CONDITIONCHECKER_TYPE|3</v>
      </c>
      <c r="C25" s="9" t="s">
        <v>86</v>
      </c>
      <c r="D25" s="9" t="s">
        <v>147</v>
      </c>
      <c r="E25" s="9">
        <v>3</v>
      </c>
      <c r="F25" s="8" t="str">
        <f>IF(H25="", "", H25&amp;IF(I25="", "", " | "&amp;I25)&amp;IF(J82="", "", " | "&amp;J82))</f>
        <v>컨디션 체커 | 스테이지 클리어 했는지</v>
      </c>
      <c r="H25" s="9" t="s">
        <v>87</v>
      </c>
      <c r="I25" s="9" t="s">
        <v>148</v>
      </c>
      <c r="J25" s="9"/>
    </row>
    <row r="26" spans="2:10">
      <c r="B26" s="8" t="str">
        <f t="shared" ref="B26" si="7">C26&amp;"|"&amp;E26</f>
        <v>CONDITIONCHECKER_TYPE|4</v>
      </c>
      <c r="C26" s="9" t="s">
        <v>86</v>
      </c>
      <c r="D26" s="9" t="s">
        <v>351</v>
      </c>
      <c r="E26" s="9">
        <v>4</v>
      </c>
      <c r="F26" s="8" t="str">
        <f>IF(H26="", "", H26&amp;IF(I26="", "", " | "&amp;I26)&amp;IF(J83="", "", " | "&amp;J83))</f>
        <v>컨디션 체커 | 스테이지 입장</v>
      </c>
      <c r="H26" s="9" t="s">
        <v>87</v>
      </c>
      <c r="I26" s="9" t="s">
        <v>352</v>
      </c>
      <c r="J26" s="9"/>
    </row>
    <row r="27" spans="2:10">
      <c r="B27" s="8" t="str">
        <f>C27&amp;"|"&amp;E27</f>
        <v>MULTIPLECONDITION_TYPE|0</v>
      </c>
      <c r="C27" s="9" t="s">
        <v>167</v>
      </c>
      <c r="D27" s="9" t="s">
        <v>165</v>
      </c>
      <c r="E27" s="9">
        <v>0</v>
      </c>
      <c r="F27" s="8" t="str">
        <f t="shared" ref="F27:F34" si="8">IF(H27="", "", H27&amp;IF(I27="", "", " | "&amp;I27)&amp;IF(J83="", "", " | "&amp;J83))</f>
        <v>복합 컨디션 | AND</v>
      </c>
      <c r="H27" s="9" t="s">
        <v>168</v>
      </c>
      <c r="I27" s="9" t="s">
        <v>165</v>
      </c>
      <c r="J27" s="9"/>
    </row>
    <row r="28" spans="2:10">
      <c r="B28" s="8" t="str">
        <f t="shared" si="0"/>
        <v>MULTIPLECONDITION_TYPE|1</v>
      </c>
      <c r="C28" s="9" t="s">
        <v>167</v>
      </c>
      <c r="D28" s="9" t="s">
        <v>166</v>
      </c>
      <c r="E28" s="9">
        <v>1</v>
      </c>
      <c r="F28" s="8" t="str">
        <f t="shared" si="8"/>
        <v>복합 컨디션 | OR</v>
      </c>
      <c r="H28" s="9" t="s">
        <v>168</v>
      </c>
      <c r="I28" s="9" t="s">
        <v>166</v>
      </c>
      <c r="J28" s="9"/>
    </row>
    <row r="29" spans="2:10">
      <c r="B29" s="8" t="str">
        <f t="shared" si="0"/>
        <v>ADS_GROUP_TYPE|0</v>
      </c>
      <c r="C29" s="9" t="s">
        <v>353</v>
      </c>
      <c r="D29" s="9" t="s">
        <v>354</v>
      </c>
      <c r="E29" s="9">
        <v>0</v>
      </c>
      <c r="F29" s="8" t="str">
        <f t="shared" si="8"/>
        <v>광고 그룹 타입 | None</v>
      </c>
      <c r="H29" s="9" t="s">
        <v>356</v>
      </c>
      <c r="I29" s="9" t="s">
        <v>354</v>
      </c>
      <c r="J29" s="9"/>
    </row>
    <row r="30" spans="2:10">
      <c r="B30" s="8" t="str">
        <f t="shared" si="0"/>
        <v>ADS_GROUP_TYPE|1</v>
      </c>
      <c r="C30" s="9" t="s">
        <v>353</v>
      </c>
      <c r="D30" s="9" t="s">
        <v>480</v>
      </c>
      <c r="E30" s="9">
        <v>1</v>
      </c>
      <c r="F30" s="8" t="str">
        <f t="shared" si="8"/>
        <v>광고 그룹 타입 | 스테이지 클리어 OR 플레이시간 Segment 1</v>
      </c>
      <c r="H30" s="9" t="s">
        <v>356</v>
      </c>
      <c r="I30" s="9" t="s">
        <v>484</v>
      </c>
      <c r="J30" s="9"/>
    </row>
    <row r="31" spans="2:10">
      <c r="B31" s="8" t="str">
        <f t="shared" si="0"/>
        <v>ADS_GROUP_TYPE|2</v>
      </c>
      <c r="C31" s="9" t="s">
        <v>353</v>
      </c>
      <c r="D31" s="9" t="s">
        <v>355</v>
      </c>
      <c r="E31" s="9">
        <v>2</v>
      </c>
      <c r="F31" s="8" t="str">
        <f t="shared" si="8"/>
        <v>광고 그룹 타입 | 스테이지 클리어 AND 플레이 시간 Segment 1</v>
      </c>
      <c r="H31" s="9" t="s">
        <v>356</v>
      </c>
      <c r="I31" s="9" t="s">
        <v>485</v>
      </c>
      <c r="J31" s="9"/>
    </row>
    <row r="32" spans="2:10" ht="12.75" customHeight="1">
      <c r="B32" s="8" t="str">
        <f t="shared" ref="B32:B33" si="9">C32&amp;"|"&amp;E32</f>
        <v>ADS_GROUP_TYPE|3</v>
      </c>
      <c r="C32" s="9" t="s">
        <v>353</v>
      </c>
      <c r="D32" s="9" t="s">
        <v>481</v>
      </c>
      <c r="E32" s="9">
        <v>3</v>
      </c>
      <c r="F32" s="8" t="str">
        <f t="shared" si="8"/>
        <v>광고 그룹 타입 | 스테이지 클리어 OR 플레이시간 Segment 2</v>
      </c>
      <c r="H32" s="9" t="s">
        <v>356</v>
      </c>
      <c r="I32" s="9" t="s">
        <v>482</v>
      </c>
      <c r="J32" s="9"/>
    </row>
    <row r="33" spans="2:10">
      <c r="B33" s="8" t="str">
        <f t="shared" si="9"/>
        <v>ADS_GROUP_TYPE|4</v>
      </c>
      <c r="C33" s="9" t="s">
        <v>353</v>
      </c>
      <c r="D33" s="9" t="s">
        <v>479</v>
      </c>
      <c r="E33" s="9">
        <v>4</v>
      </c>
      <c r="F33" s="8" t="str">
        <f t="shared" si="8"/>
        <v>광고 그룹 타입 | 스테이지 클리어 AND 플레이 시간 Segment 2</v>
      </c>
      <c r="H33" s="9" t="s">
        <v>356</v>
      </c>
      <c r="I33" s="9" t="s">
        <v>483</v>
      </c>
      <c r="J33" s="9"/>
    </row>
    <row r="34" spans="2:10" ht="12.75" customHeight="1">
      <c r="B34" s="8" t="str">
        <f t="shared" ref="B34" si="10">C34&amp;"|"&amp;E34</f>
        <v>ADS_GROUP_TYPE|5</v>
      </c>
      <c r="C34" s="9" t="s">
        <v>353</v>
      </c>
      <c r="D34" s="9" t="s">
        <v>540</v>
      </c>
      <c r="E34" s="9">
        <v>5</v>
      </c>
      <c r="F34" s="8" t="str">
        <f t="shared" si="8"/>
        <v>광고 그룹 타입 | 스테이지 클리어 OR 플레이시간 Segment 3</v>
      </c>
      <c r="H34" s="9" t="s">
        <v>356</v>
      </c>
      <c r="I34" s="9" t="s">
        <v>541</v>
      </c>
      <c r="J34" s="9"/>
    </row>
    <row r="35" spans="2:10">
      <c r="B35" s="8" t="str">
        <f t="shared" ref="B35:B37" si="11">C35&amp;"|"&amp;E35</f>
        <v>ADS_SEGMENT_TYPE|0</v>
      </c>
      <c r="C35" s="9" t="s">
        <v>530</v>
      </c>
      <c r="D35" s="9" t="s">
        <v>41</v>
      </c>
      <c r="E35" s="9">
        <v>0</v>
      </c>
      <c r="F35" s="8" t="str">
        <f t="shared" ref="F35:F37" si="12">IF(H35="", "", H35&amp;IF(I35="", "", " | "&amp;I35)&amp;IF(J90="", "", " | "&amp;J90))</f>
        <v>광고 세그먼트 타입 | None</v>
      </c>
      <c r="H35" s="9" t="s">
        <v>533</v>
      </c>
      <c r="I35" s="9" t="s">
        <v>41</v>
      </c>
      <c r="J35" s="9"/>
    </row>
    <row r="36" spans="2:10">
      <c r="B36" s="8" t="str">
        <f t="shared" si="11"/>
        <v>ADS_SEGMENT_TYPE|1</v>
      </c>
      <c r="C36" s="9" t="s">
        <v>530</v>
      </c>
      <c r="D36" s="9" t="s">
        <v>531</v>
      </c>
      <c r="E36" s="9">
        <v>1</v>
      </c>
      <c r="F36" s="8" t="str">
        <f t="shared" si="12"/>
        <v>광고 세그먼트 타입 | 로컬 조건 체크</v>
      </c>
      <c r="H36" s="9" t="s">
        <v>533</v>
      </c>
      <c r="I36" s="9" t="s">
        <v>534</v>
      </c>
      <c r="J36" s="9"/>
    </row>
    <row r="37" spans="2:10">
      <c r="B37" s="8" t="str">
        <f t="shared" si="11"/>
        <v>ADS_SEGMENT_TYPE|2</v>
      </c>
      <c r="C37" s="9" t="s">
        <v>530</v>
      </c>
      <c r="D37" s="9" t="s">
        <v>532</v>
      </c>
      <c r="E37" s="9">
        <v>2</v>
      </c>
      <c r="F37" s="8" t="str">
        <f t="shared" si="12"/>
        <v>광고 세그먼트 타입 | AB 테스트</v>
      </c>
      <c r="H37" s="9" t="s">
        <v>533</v>
      </c>
      <c r="I37" s="9" t="s">
        <v>535</v>
      </c>
      <c r="J37" s="9"/>
    </row>
    <row r="38" spans="2:10" ht="10.5" customHeight="1">
      <c r="J38" s="9"/>
    </row>
    <row r="39" spans="2:10" ht="10.5" customHeight="1">
      <c r="J39" s="9"/>
    </row>
    <row r="40" spans="2:10" ht="10.5" customHeight="1">
      <c r="J40" s="9"/>
    </row>
    <row r="41" spans="2:10" ht="10.5" customHeight="1">
      <c r="J41" s="9"/>
    </row>
    <row r="42" spans="2:10" ht="10.5" customHeight="1">
      <c r="J42" s="9"/>
    </row>
    <row r="43" spans="2:10" ht="10.5" customHeight="1">
      <c r="J43" s="9"/>
    </row>
    <row r="44" spans="2:10" ht="10.5" customHeight="1">
      <c r="J44" s="9"/>
    </row>
    <row r="45" spans="2:10" ht="10.5" customHeight="1">
      <c r="J45" s="9"/>
    </row>
    <row r="46" spans="2:10" ht="10.5" customHeight="1">
      <c r="J46" s="9"/>
    </row>
    <row r="47" spans="2:10" ht="10.5" customHeight="1">
      <c r="J47" s="9"/>
    </row>
    <row r="48" spans="2:10" ht="10.5" customHeight="1">
      <c r="J48" s="9"/>
    </row>
    <row r="49" spans="10:10" ht="10.5" customHeight="1">
      <c r="J49" s="9"/>
    </row>
    <row r="50" spans="10:10" ht="10.5" customHeight="1">
      <c r="J50" s="9"/>
    </row>
    <row r="51" spans="10:10" ht="10.5" customHeight="1">
      <c r="J51" s="9"/>
    </row>
    <row r="52" spans="10:10" ht="10.5" customHeight="1">
      <c r="J52" s="9"/>
    </row>
    <row r="53" spans="10:10" ht="10.5" customHeight="1">
      <c r="J53" s="9"/>
    </row>
    <row r="54" spans="10:10" ht="10.5" customHeight="1">
      <c r="J54" s="9"/>
    </row>
    <row r="55" spans="10:10" ht="10.5" customHeight="1">
      <c r="J55" s="9"/>
    </row>
    <row r="56" spans="10:10" ht="10.5" customHeight="1">
      <c r="J56" s="9"/>
    </row>
    <row r="57" spans="10:10" ht="10.5" customHeight="1">
      <c r="J57" s="9"/>
    </row>
    <row r="58" spans="10:10" ht="10.5" customHeight="1">
      <c r="J58" s="9"/>
    </row>
    <row r="59" spans="10:10" ht="10.5" customHeight="1">
      <c r="J59" s="9"/>
    </row>
    <row r="60" spans="10:10" ht="10.5" customHeight="1">
      <c r="J60" s="9"/>
    </row>
    <row r="61" spans="10:10" ht="10.5" customHeight="1">
      <c r="J61" s="9"/>
    </row>
    <row r="62" spans="10:10" ht="10.5" customHeight="1">
      <c r="J62" s="9"/>
    </row>
    <row r="63" spans="10:10" ht="10.5" customHeight="1">
      <c r="J63" s="9"/>
    </row>
    <row r="64" spans="10:10" ht="10.5" customHeight="1">
      <c r="J64" s="9"/>
    </row>
    <row r="65" spans="2:10" ht="10.5" customHeight="1">
      <c r="J65" s="9"/>
    </row>
    <row r="66" spans="2:10" ht="10.5" customHeight="1">
      <c r="J66" s="9"/>
    </row>
    <row r="67" spans="2:10" ht="10.5" customHeight="1">
      <c r="J67" s="9"/>
    </row>
    <row r="68" spans="2:10" ht="10.5" customHeight="1">
      <c r="J68" s="9"/>
    </row>
    <row r="69" spans="2:10" ht="10.5" customHeight="1">
      <c r="J69" s="9"/>
    </row>
    <row r="70" spans="2:10" ht="10.5" customHeight="1">
      <c r="J70" s="9"/>
    </row>
    <row r="71" spans="2:10" ht="10.5" customHeight="1">
      <c r="J71" s="9"/>
    </row>
    <row r="72" spans="2:10" ht="10.5" customHeight="1">
      <c r="B72" s="8"/>
      <c r="C72" s="9"/>
      <c r="D72" s="9"/>
      <c r="E72" s="9"/>
      <c r="F72" s="8"/>
      <c r="H72" s="9"/>
      <c r="I72" s="9"/>
      <c r="J72" s="9"/>
    </row>
    <row r="73" spans="2:10" ht="10.5" customHeight="1">
      <c r="B73" s="8"/>
      <c r="C73" s="9"/>
      <c r="D73" s="9"/>
      <c r="E73" s="9"/>
      <c r="F73" s="8"/>
      <c r="H73" s="9"/>
      <c r="I73" s="9"/>
      <c r="J73" s="9"/>
    </row>
    <row r="74" spans="2:10" ht="10.5" customHeight="1">
      <c r="J74" s="9"/>
    </row>
    <row r="75" spans="2:10" ht="10.5" customHeight="1">
      <c r="J75" s="9"/>
    </row>
    <row r="76" spans="2:10" ht="10.5" customHeight="1">
      <c r="J76" s="9"/>
    </row>
    <row r="77" spans="2:10" ht="10.5" customHeight="1">
      <c r="J77" s="9"/>
    </row>
    <row r="78" spans="2:10" ht="10.5" customHeight="1">
      <c r="J78" s="9"/>
    </row>
    <row r="79" spans="2:10" ht="10.5" customHeight="1">
      <c r="J79" s="9"/>
    </row>
    <row r="80" spans="2:10" ht="10.5" customHeight="1">
      <c r="J80" s="9"/>
    </row>
    <row r="81" spans="10:10" ht="10.5" customHeight="1">
      <c r="J81" s="9"/>
    </row>
    <row r="82" spans="10:10" ht="10.5" customHeight="1">
      <c r="J82" s="9"/>
    </row>
    <row r="83" spans="10:10" ht="10.5" customHeight="1">
      <c r="J83" s="9"/>
    </row>
    <row r="84" spans="10:10" ht="10.5" customHeight="1">
      <c r="J84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CEA5-DCFE-1F40-9253-0E994BC6F75C}">
  <dimension ref="A2:J80"/>
  <sheetViews>
    <sheetView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46" sqref="C46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15" si="0">C5&amp;"|"&amp;E5</f>
        <v>ERROR_LEVEL|0</v>
      </c>
      <c r="C5" s="9" t="s">
        <v>14</v>
      </c>
      <c r="D5" s="9" t="s">
        <v>15</v>
      </c>
      <c r="E5" s="9">
        <v>0</v>
      </c>
      <c r="F5" s="8" t="str">
        <f t="shared" ref="F5:F15" si="1">IF(H5="", "", H5&amp;IF(I5="", "", " | "&amp;I5)&amp;IF(J13="", "", " | "&amp;J13))</f>
        <v>에러 레벨 | 경고</v>
      </c>
      <c r="H5" s="9" t="s">
        <v>18</v>
      </c>
      <c r="I5" s="9" t="s">
        <v>19</v>
      </c>
      <c r="J5" s="9"/>
    </row>
    <row r="6" spans="1:10">
      <c r="B6" s="8" t="str">
        <f t="shared" si="0"/>
        <v>ERROR_LEVEL|1</v>
      </c>
      <c r="C6" s="9" t="s">
        <v>14</v>
      </c>
      <c r="D6" s="9" t="s">
        <v>16</v>
      </c>
      <c r="E6" s="9">
        <v>1</v>
      </c>
      <c r="F6" s="8" t="str">
        <f t="shared" si="1"/>
        <v>에러 레벨 | 에러</v>
      </c>
      <c r="H6" s="9" t="s">
        <v>18</v>
      </c>
      <c r="I6" s="9" t="s">
        <v>20</v>
      </c>
      <c r="J6" s="9"/>
    </row>
    <row r="7" spans="1:10">
      <c r="B7" s="8" t="str">
        <f t="shared" si="0"/>
        <v>ERROR_LEVEL|3</v>
      </c>
      <c r="C7" s="9" t="s">
        <v>14</v>
      </c>
      <c r="D7" s="9" t="s">
        <v>17</v>
      </c>
      <c r="E7" s="9">
        <v>3</v>
      </c>
      <c r="F7" s="8" t="str">
        <f t="shared" si="1"/>
        <v>에러 레벨 | 치명적 에러</v>
      </c>
      <c r="H7" s="9" t="s">
        <v>18</v>
      </c>
      <c r="I7" s="9" t="s">
        <v>21</v>
      </c>
      <c r="J7" s="9"/>
    </row>
    <row r="8" spans="1:10">
      <c r="B8" s="8" t="str">
        <f t="shared" si="0"/>
        <v>ERROR_ACTION|0</v>
      </c>
      <c r="C8" s="9" t="s">
        <v>22</v>
      </c>
      <c r="D8" s="9" t="s">
        <v>23</v>
      </c>
      <c r="E8" s="9">
        <v>0</v>
      </c>
      <c r="F8" s="8" t="str">
        <f t="shared" si="1"/>
        <v>에러 발생 시 대응 | 없음</v>
      </c>
      <c r="H8" s="9" t="s">
        <v>26</v>
      </c>
      <c r="I8" s="9" t="s">
        <v>27</v>
      </c>
      <c r="J8" s="9"/>
    </row>
    <row r="9" spans="1:10">
      <c r="B9" s="8" t="str">
        <f t="shared" si="0"/>
        <v>ERROR_ACTION|1</v>
      </c>
      <c r="C9" s="9" t="s">
        <v>22</v>
      </c>
      <c r="D9" s="9" t="s">
        <v>24</v>
      </c>
      <c r="E9" s="9">
        <v>1</v>
      </c>
      <c r="F9" s="8" t="str">
        <f t="shared" si="1"/>
        <v>에러 발생 시 대응 | 경고 메시지 출력</v>
      </c>
      <c r="H9" s="9" t="s">
        <v>26</v>
      </c>
      <c r="I9" s="9" t="s">
        <v>28</v>
      </c>
      <c r="J9" s="9"/>
    </row>
    <row r="10" spans="1:10">
      <c r="B10" s="8" t="str">
        <f t="shared" si="0"/>
        <v>ERROR_ACTION|2</v>
      </c>
      <c r="C10" s="9" t="s">
        <v>22</v>
      </c>
      <c r="D10" s="9" t="s">
        <v>25</v>
      </c>
      <c r="E10" s="9">
        <v>2</v>
      </c>
      <c r="F10" s="8" t="str">
        <f t="shared" si="1"/>
        <v>에러 발생 시 대응 | 로그 아웃</v>
      </c>
      <c r="H10" s="9" t="s">
        <v>26</v>
      </c>
      <c r="I10" s="9" t="s">
        <v>29</v>
      </c>
      <c r="J10" s="9"/>
    </row>
    <row r="11" spans="1:10">
      <c r="B11" s="8" t="str">
        <f t="shared" si="0"/>
        <v>ERROR_ACTION|3</v>
      </c>
      <c r="C11" s="9" t="s">
        <v>22</v>
      </c>
      <c r="D11" s="9" t="s">
        <v>30</v>
      </c>
      <c r="E11" s="9">
        <v>3</v>
      </c>
      <c r="F11" s="8" t="str">
        <f t="shared" si="1"/>
        <v>에러 발생 시 대응 | 토스트 메시지 출력</v>
      </c>
      <c r="H11" s="9" t="s">
        <v>26</v>
      </c>
      <c r="I11" s="9" t="s">
        <v>31</v>
      </c>
      <c r="J11" s="9"/>
    </row>
    <row r="12" spans="1:10">
      <c r="B12" s="8" t="str">
        <f t="shared" si="0"/>
        <v>ERROR_ACTION|4</v>
      </c>
      <c r="C12" s="9" t="s">
        <v>22</v>
      </c>
      <c r="D12" s="9" t="s">
        <v>33</v>
      </c>
      <c r="E12" s="9">
        <v>4</v>
      </c>
      <c r="F12" s="8" t="str">
        <f t="shared" si="1"/>
        <v>에러 발생 시 대응 | sync 요청</v>
      </c>
      <c r="H12" s="9" t="s">
        <v>32</v>
      </c>
      <c r="I12" s="9" t="s">
        <v>34</v>
      </c>
      <c r="J12" s="9"/>
    </row>
    <row r="13" spans="1:10">
      <c r="B13" s="8" t="str">
        <f t="shared" si="0"/>
        <v>ERROR_ACTION|5</v>
      </c>
      <c r="C13" s="9" t="s">
        <v>22</v>
      </c>
      <c r="D13" s="9" t="s">
        <v>35</v>
      </c>
      <c r="E13" s="9">
        <v>5</v>
      </c>
      <c r="F13" s="8" t="str">
        <f t="shared" si="1"/>
        <v>에러 발생 시 대응 | 버전 에러, 마켓 업데이트로 이동</v>
      </c>
      <c r="H13" s="9" t="s">
        <v>32</v>
      </c>
      <c r="I13" s="9" t="s">
        <v>38</v>
      </c>
      <c r="J13" s="9"/>
    </row>
    <row r="14" spans="1:10">
      <c r="B14" s="8" t="str">
        <f t="shared" si="0"/>
        <v>ERROR_ACTION|6</v>
      </c>
      <c r="C14" s="9" t="s">
        <v>22</v>
      </c>
      <c r="D14" s="9" t="s">
        <v>37</v>
      </c>
      <c r="E14" s="9">
        <v>6</v>
      </c>
      <c r="F14" s="8" t="str">
        <f t="shared" si="1"/>
        <v>에러 발생 시 대응 | 버전 에러, 마켓 업데이트로 이동(옵셔널)</v>
      </c>
      <c r="H14" s="9" t="s">
        <v>32</v>
      </c>
      <c r="I14" s="9" t="s">
        <v>39</v>
      </c>
      <c r="J14" s="9"/>
    </row>
    <row r="15" spans="1:10">
      <c r="B15" s="8" t="str">
        <f t="shared" si="0"/>
        <v>ERROR_ACTION|7</v>
      </c>
      <c r="C15" s="9" t="s">
        <v>22</v>
      </c>
      <c r="D15" s="9" t="s">
        <v>36</v>
      </c>
      <c r="E15" s="9">
        <v>7</v>
      </c>
      <c r="F15" s="8" t="str">
        <f t="shared" si="1"/>
        <v>에러 발생 시 대응 | 클라이언트 캐쉬 삭제</v>
      </c>
      <c r="H15" s="9" t="s">
        <v>32</v>
      </c>
      <c r="I15" s="9" t="s">
        <v>40</v>
      </c>
      <c r="J15" s="9"/>
    </row>
    <row r="16" spans="1:10">
      <c r="B16" s="8"/>
      <c r="C16" s="9"/>
      <c r="D16" s="9"/>
      <c r="E16" s="9"/>
      <c r="F16" s="8"/>
      <c r="H16" s="9"/>
      <c r="I16" s="9"/>
      <c r="J16" s="9"/>
    </row>
    <row r="17" spans="2:10">
      <c r="B17" s="8"/>
      <c r="C17" s="9"/>
      <c r="D17" s="9"/>
      <c r="E17" s="9"/>
      <c r="F17" s="8"/>
      <c r="H17" s="9"/>
      <c r="I17" s="9"/>
      <c r="J17" s="9"/>
    </row>
    <row r="18" spans="2:10">
      <c r="B18" s="8"/>
      <c r="C18" s="9"/>
      <c r="D18" s="9"/>
      <c r="E18" s="9"/>
      <c r="F18" s="8"/>
      <c r="H18" s="9"/>
      <c r="I18" s="9"/>
      <c r="J18" s="9"/>
    </row>
    <row r="19" spans="2:10">
      <c r="B19" s="8"/>
      <c r="C19" s="9"/>
      <c r="D19" s="9"/>
      <c r="E19" s="9"/>
      <c r="F19" s="8"/>
      <c r="H19" s="9"/>
      <c r="I19" s="9"/>
      <c r="J19" s="9"/>
    </row>
    <row r="20" spans="2:10">
      <c r="B20" s="8"/>
      <c r="C20" s="9"/>
      <c r="D20" s="9"/>
      <c r="E20" s="9"/>
      <c r="F20" s="8"/>
      <c r="H20" s="9"/>
      <c r="I20" s="9"/>
      <c r="J20" s="9"/>
    </row>
    <row r="21" spans="2:10">
      <c r="B21" s="8"/>
      <c r="C21" s="9"/>
      <c r="D21" s="9"/>
      <c r="E21" s="9"/>
      <c r="F21" s="8"/>
      <c r="H21" s="9"/>
      <c r="I21" s="9"/>
      <c r="J21" s="9"/>
    </row>
    <row r="22" spans="2:10">
      <c r="B22" s="8"/>
      <c r="C22" s="9"/>
      <c r="D22" s="9"/>
      <c r="E22" s="9"/>
      <c r="F22" s="8"/>
      <c r="H22" s="9"/>
      <c r="I22" s="9"/>
      <c r="J22" s="9"/>
    </row>
    <row r="23" spans="2:10">
      <c r="B23" s="8"/>
      <c r="C23" s="9"/>
      <c r="D23" s="9"/>
      <c r="E23" s="9"/>
      <c r="F23" s="8"/>
      <c r="H23" s="9"/>
      <c r="I23" s="9"/>
      <c r="J23" s="9"/>
    </row>
    <row r="24" spans="2:10">
      <c r="B24" s="8"/>
      <c r="C24" s="9"/>
      <c r="D24" s="9"/>
      <c r="E24" s="9"/>
      <c r="F24" s="8"/>
      <c r="H24" s="9"/>
      <c r="I24" s="9"/>
      <c r="J24" s="9"/>
    </row>
    <row r="25" spans="2:10">
      <c r="B25" s="8"/>
      <c r="C25" s="9"/>
      <c r="D25" s="9"/>
      <c r="E25" s="9"/>
      <c r="F25" s="8"/>
      <c r="H25" s="9"/>
      <c r="I25" s="9"/>
      <c r="J25" s="9"/>
    </row>
    <row r="26" spans="2:10">
      <c r="B26" s="8"/>
      <c r="C26" s="9"/>
      <c r="D26" s="9"/>
      <c r="E26" s="9"/>
      <c r="F26" s="8"/>
      <c r="H26" s="9"/>
      <c r="I26" s="9"/>
      <c r="J26" s="9"/>
    </row>
    <row r="27" spans="2:10" ht="10.5" customHeight="1">
      <c r="B27" s="8"/>
      <c r="C27" s="9"/>
      <c r="D27" s="9"/>
      <c r="E27" s="9"/>
      <c r="F27" s="8"/>
      <c r="H27" s="9"/>
      <c r="I27" s="9"/>
      <c r="J27" s="9"/>
    </row>
    <row r="28" spans="2:10" ht="10.5" customHeight="1">
      <c r="B28" s="8"/>
      <c r="C28" s="9"/>
      <c r="D28" s="9"/>
      <c r="E28" s="9"/>
      <c r="F28" s="8"/>
      <c r="H28" s="9"/>
      <c r="I28" s="9"/>
      <c r="J28" s="9"/>
    </row>
    <row r="29" spans="2:10" ht="10.5" customHeight="1">
      <c r="B29" s="8"/>
      <c r="C29" s="9"/>
      <c r="D29" s="9"/>
      <c r="E29" s="9"/>
      <c r="F29" s="8"/>
      <c r="H29" s="9"/>
      <c r="I29" s="9"/>
      <c r="J29" s="9"/>
    </row>
    <row r="30" spans="2:10" ht="10.5" customHeight="1">
      <c r="B30" s="8"/>
      <c r="C30" s="9"/>
      <c r="D30" s="9"/>
      <c r="E30" s="9"/>
      <c r="F30" s="8"/>
      <c r="H30" s="9"/>
      <c r="I30" s="9"/>
      <c r="J30" s="9"/>
    </row>
    <row r="31" spans="2:10" ht="10.5" customHeight="1">
      <c r="B31" s="8"/>
      <c r="C31" s="9"/>
      <c r="D31" s="9"/>
      <c r="E31" s="9"/>
      <c r="F31" s="8"/>
      <c r="H31" s="9"/>
      <c r="I31" s="9"/>
      <c r="J31" s="9"/>
    </row>
    <row r="32" spans="2:10" ht="10.5" customHeight="1">
      <c r="B32" s="8"/>
      <c r="C32" s="9"/>
      <c r="D32" s="9"/>
      <c r="E32" s="9"/>
      <c r="F32" s="8"/>
      <c r="H32" s="9"/>
      <c r="I32" s="9"/>
      <c r="J32" s="9"/>
    </row>
    <row r="33" spans="2:10" ht="10.5" customHeight="1">
      <c r="B33" s="8"/>
      <c r="C33" s="9"/>
      <c r="D33" s="9"/>
      <c r="E33" s="9"/>
      <c r="F33" s="8"/>
      <c r="H33" s="9"/>
      <c r="I33" s="9"/>
      <c r="J33" s="9"/>
    </row>
    <row r="34" spans="2:10" ht="10.5" customHeight="1">
      <c r="B34" s="8"/>
      <c r="C34" s="9"/>
      <c r="D34" s="9"/>
      <c r="E34" s="9"/>
      <c r="F34" s="8"/>
      <c r="H34" s="9"/>
      <c r="I34" s="9"/>
      <c r="J34" s="9"/>
    </row>
    <row r="35" spans="2:10" ht="10.5" customHeight="1">
      <c r="B35" s="8"/>
      <c r="C35" s="9"/>
      <c r="D35" s="9"/>
      <c r="E35" s="9"/>
      <c r="F35" s="8"/>
      <c r="H35" s="9"/>
      <c r="I35" s="9"/>
      <c r="J35" s="9"/>
    </row>
    <row r="36" spans="2:10" ht="10.5" customHeight="1">
      <c r="B36" s="8"/>
      <c r="C36" s="9"/>
      <c r="D36" s="9"/>
      <c r="E36" s="9"/>
      <c r="F36" s="8"/>
      <c r="H36" s="9"/>
      <c r="I36" s="9"/>
      <c r="J36" s="9"/>
    </row>
    <row r="37" spans="2:10" ht="10.5" customHeight="1">
      <c r="B37" s="8"/>
      <c r="C37" s="9"/>
      <c r="D37" s="9"/>
      <c r="E37" s="9"/>
      <c r="F37" s="8"/>
      <c r="H37" s="9"/>
      <c r="I37" s="9"/>
      <c r="J37" s="9"/>
    </row>
    <row r="38" spans="2:10" ht="10.5" customHeight="1">
      <c r="B38" s="8"/>
      <c r="C38" s="9"/>
      <c r="D38" s="9"/>
      <c r="E38" s="9"/>
      <c r="F38" s="8"/>
      <c r="H38" s="9"/>
      <c r="I38" s="9"/>
      <c r="J38" s="9"/>
    </row>
    <row r="39" spans="2:10" ht="10.5" customHeight="1">
      <c r="B39" s="8"/>
      <c r="C39" s="9"/>
      <c r="D39" s="9"/>
      <c r="E39" s="9"/>
      <c r="F39" s="8"/>
      <c r="H39" s="9"/>
      <c r="I39" s="9"/>
      <c r="J39" s="9"/>
    </row>
    <row r="40" spans="2:10" ht="10.5" customHeight="1">
      <c r="B40" s="8"/>
      <c r="C40" s="9"/>
      <c r="D40" s="9"/>
      <c r="E40" s="9"/>
      <c r="F40" s="8"/>
      <c r="H40" s="9"/>
      <c r="I40" s="9"/>
      <c r="J40" s="9"/>
    </row>
    <row r="41" spans="2:10" ht="10.5" customHeight="1">
      <c r="B41" s="8"/>
      <c r="C41" s="9"/>
      <c r="D41" s="9"/>
      <c r="E41" s="9"/>
      <c r="F41" s="8"/>
      <c r="H41" s="9"/>
      <c r="I41" s="9"/>
      <c r="J41" s="9"/>
    </row>
    <row r="42" spans="2:10" ht="10.5" customHeight="1">
      <c r="B42" s="8"/>
      <c r="C42" s="9"/>
      <c r="D42" s="9"/>
      <c r="E42" s="9"/>
      <c r="F42" s="8"/>
      <c r="H42" s="9"/>
      <c r="I42" s="9"/>
      <c r="J42" s="9"/>
    </row>
    <row r="43" spans="2:10" ht="10.5" customHeight="1">
      <c r="B43" s="8"/>
      <c r="C43" s="9"/>
      <c r="D43" s="9"/>
      <c r="E43" s="9"/>
      <c r="F43" s="8"/>
      <c r="H43" s="9"/>
      <c r="I43" s="9"/>
      <c r="J43" s="9"/>
    </row>
    <row r="44" spans="2:10" ht="10.5" customHeight="1">
      <c r="B44" s="8"/>
      <c r="C44" s="9"/>
      <c r="D44" s="9"/>
      <c r="E44" s="9"/>
      <c r="F44" s="8"/>
      <c r="H44" s="9"/>
      <c r="I44" s="9"/>
      <c r="J44" s="9"/>
    </row>
    <row r="45" spans="2:10" ht="10.5" customHeight="1">
      <c r="B45" s="8"/>
      <c r="C45" s="9"/>
      <c r="D45" s="9"/>
      <c r="E45" s="9"/>
      <c r="F45" s="8"/>
      <c r="H45" s="9"/>
      <c r="I45" s="9"/>
      <c r="J45" s="9"/>
    </row>
    <row r="46" spans="2:10" ht="10.5" customHeight="1">
      <c r="B46" s="8"/>
      <c r="C46" s="9"/>
      <c r="D46" s="9"/>
      <c r="E46" s="9"/>
      <c r="F46" s="8"/>
      <c r="H46" s="9"/>
      <c r="I46" s="9"/>
      <c r="J46" s="9"/>
    </row>
    <row r="47" spans="2:10" ht="10.5" customHeight="1">
      <c r="B47" s="8"/>
      <c r="C47" s="9"/>
      <c r="D47" s="9"/>
      <c r="E47" s="9"/>
      <c r="F47" s="8"/>
      <c r="H47" s="9"/>
      <c r="I47" s="9"/>
      <c r="J47" s="9"/>
    </row>
    <row r="48" spans="2:10" ht="10.5" customHeight="1">
      <c r="B48" s="8"/>
      <c r="C48" s="9"/>
      <c r="D48" s="9"/>
      <c r="E48" s="9"/>
      <c r="F48" s="8"/>
      <c r="H48" s="9"/>
      <c r="I48" s="9"/>
      <c r="J48" s="9"/>
    </row>
    <row r="49" spans="2:10" ht="10.5" customHeight="1">
      <c r="B49" s="8"/>
      <c r="C49" s="9"/>
      <c r="D49" s="9"/>
      <c r="E49" s="9"/>
      <c r="F49" s="8"/>
      <c r="H49" s="9"/>
      <c r="I49" s="9"/>
      <c r="J49" s="9"/>
    </row>
    <row r="50" spans="2:10" ht="10.5" customHeight="1">
      <c r="B50" s="8"/>
      <c r="C50" s="9"/>
      <c r="D50" s="9"/>
      <c r="E50" s="9"/>
      <c r="F50" s="8"/>
      <c r="H50" s="9"/>
      <c r="I50" s="9"/>
      <c r="J50" s="9"/>
    </row>
    <row r="51" spans="2:10" ht="10.5" customHeight="1">
      <c r="B51" s="8"/>
      <c r="C51" s="9"/>
      <c r="D51" s="9"/>
      <c r="E51" s="9"/>
      <c r="F51" s="8"/>
      <c r="H51" s="9"/>
      <c r="I51" s="9"/>
      <c r="J51" s="9"/>
    </row>
    <row r="52" spans="2:10" ht="10.5" customHeight="1">
      <c r="B52" s="8"/>
      <c r="C52" s="9"/>
      <c r="D52" s="9"/>
      <c r="E52" s="9"/>
      <c r="F52" s="8"/>
      <c r="H52" s="9"/>
      <c r="I52" s="9"/>
      <c r="J52" s="9"/>
    </row>
    <row r="53" spans="2:10" ht="10.5" customHeight="1">
      <c r="B53" s="8"/>
      <c r="C53" s="9"/>
      <c r="D53" s="9"/>
      <c r="E53" s="9"/>
      <c r="F53" s="8"/>
      <c r="H53" s="9"/>
      <c r="I53" s="9"/>
      <c r="J53" s="9"/>
    </row>
    <row r="54" spans="2:10" ht="10.5" customHeight="1">
      <c r="B54" s="8"/>
      <c r="C54" s="9"/>
      <c r="D54" s="9"/>
      <c r="E54" s="9"/>
      <c r="F54" s="8"/>
      <c r="H54" s="9"/>
      <c r="I54" s="9"/>
      <c r="J54" s="9"/>
    </row>
    <row r="55" spans="2:10" ht="10.5" customHeight="1">
      <c r="B55" s="8"/>
      <c r="C55" s="9"/>
      <c r="D55" s="9"/>
      <c r="E55" s="9"/>
      <c r="F55" s="8"/>
      <c r="H55" s="9"/>
      <c r="I55" s="9"/>
      <c r="J55" s="9"/>
    </row>
    <row r="56" spans="2:10" ht="10.5" customHeight="1">
      <c r="B56" s="8"/>
      <c r="C56" s="9"/>
      <c r="D56" s="9"/>
      <c r="E56" s="9"/>
      <c r="F56" s="8"/>
      <c r="H56" s="9"/>
      <c r="I56" s="9"/>
      <c r="J56" s="9"/>
    </row>
    <row r="57" spans="2:10" ht="10.5" customHeight="1">
      <c r="B57" s="8"/>
      <c r="C57" s="9"/>
      <c r="D57" s="9"/>
      <c r="E57" s="9"/>
      <c r="F57" s="8"/>
      <c r="H57" s="9"/>
      <c r="I57" s="9"/>
      <c r="J57" s="9"/>
    </row>
    <row r="58" spans="2:10" ht="10.5" customHeight="1">
      <c r="B58" s="8"/>
      <c r="C58" s="9"/>
      <c r="D58" s="9"/>
      <c r="E58" s="9"/>
      <c r="F58" s="8"/>
      <c r="H58" s="9"/>
      <c r="I58" s="9"/>
      <c r="J58" s="9"/>
    </row>
    <row r="59" spans="2:10" ht="10.5" customHeight="1">
      <c r="B59" s="8"/>
      <c r="C59" s="9"/>
      <c r="D59" s="9"/>
      <c r="E59" s="9"/>
      <c r="F59" s="8"/>
      <c r="H59" s="9"/>
      <c r="I59" s="9"/>
      <c r="J59" s="9"/>
    </row>
    <row r="60" spans="2:10" ht="10.5" customHeight="1">
      <c r="B60" s="8"/>
      <c r="C60" s="9"/>
      <c r="D60" s="9"/>
      <c r="E60" s="9"/>
      <c r="F60" s="8"/>
      <c r="H60" s="9"/>
      <c r="I60" s="9"/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B63" s="8"/>
      <c r="C63" s="9"/>
      <c r="D63" s="9"/>
      <c r="E63" s="9"/>
      <c r="F63" s="8"/>
      <c r="H63" s="9"/>
      <c r="I63" s="9"/>
      <c r="J63" s="9"/>
    </row>
    <row r="64" spans="2:10" ht="10.5" customHeight="1">
      <c r="B64" s="8"/>
      <c r="C64" s="9"/>
      <c r="D64" s="9"/>
      <c r="E64" s="9"/>
      <c r="F64" s="8"/>
      <c r="H64" s="9"/>
      <c r="I64" s="9"/>
      <c r="J64" s="9"/>
    </row>
    <row r="65" spans="2:10" ht="10.5" customHeight="1">
      <c r="B65" s="8"/>
      <c r="C65" s="9"/>
      <c r="D65" s="9"/>
      <c r="E65" s="9"/>
      <c r="F65" s="8"/>
      <c r="H65" s="9"/>
      <c r="I65" s="9"/>
      <c r="J65" s="9"/>
    </row>
    <row r="66" spans="2:10" ht="10.5" customHeight="1">
      <c r="B66" s="8"/>
      <c r="C66" s="9"/>
      <c r="D66" s="9"/>
      <c r="E66" s="9"/>
      <c r="F66" s="8"/>
      <c r="H66" s="9"/>
      <c r="I66" s="9"/>
      <c r="J66" s="9"/>
    </row>
    <row r="67" spans="2:10" ht="10.5" customHeight="1">
      <c r="B67" s="8"/>
      <c r="C67" s="9"/>
      <c r="D67" s="9"/>
      <c r="E67" s="9"/>
      <c r="F67" s="8"/>
      <c r="H67" s="9"/>
      <c r="I67" s="9"/>
      <c r="J67" s="9"/>
    </row>
    <row r="68" spans="2:10" ht="10.5" customHeight="1">
      <c r="B68" s="8"/>
      <c r="C68" s="9"/>
      <c r="D68" s="9"/>
      <c r="E68" s="9"/>
      <c r="F68" s="8"/>
      <c r="H68" s="9"/>
      <c r="I68" s="9"/>
      <c r="J68" s="9"/>
    </row>
    <row r="69" spans="2:10" ht="10.5" customHeight="1">
      <c r="B69" s="8"/>
      <c r="C69" s="9"/>
      <c r="D69" s="9"/>
      <c r="E69" s="9"/>
      <c r="F69" s="8"/>
      <c r="H69" s="9"/>
      <c r="I69" s="9"/>
      <c r="J69" s="9"/>
    </row>
    <row r="70" spans="2:10" ht="10.5" customHeight="1">
      <c r="B70" s="8"/>
      <c r="C70" s="9"/>
      <c r="D70" s="9"/>
      <c r="E70" s="9"/>
      <c r="F70" s="8"/>
      <c r="H70" s="9"/>
      <c r="I70" s="9"/>
      <c r="J70" s="9"/>
    </row>
    <row r="71" spans="2:10" ht="10.5" customHeight="1">
      <c r="B71" s="8"/>
      <c r="C71" s="9"/>
      <c r="D71" s="9"/>
      <c r="E71" s="9"/>
      <c r="F71" s="8"/>
      <c r="H71" s="9"/>
      <c r="I71" s="9"/>
      <c r="J71" s="9"/>
    </row>
    <row r="72" spans="2:10" ht="10.5" customHeight="1">
      <c r="B72" s="8"/>
      <c r="C72" s="9"/>
      <c r="D72" s="9"/>
      <c r="E72" s="9"/>
      <c r="F72" s="8"/>
      <c r="H72" s="9"/>
      <c r="I72" s="9"/>
      <c r="J72" s="9"/>
    </row>
    <row r="73" spans="2:10" ht="10.5" customHeight="1">
      <c r="B73" s="8"/>
      <c r="C73" s="9"/>
      <c r="D73" s="9"/>
      <c r="E73" s="9"/>
      <c r="F73" s="8"/>
      <c r="H73" s="9"/>
      <c r="I73" s="9"/>
      <c r="J73" s="9"/>
    </row>
    <row r="74" spans="2:10" ht="10.5" customHeight="1">
      <c r="B74" s="8"/>
      <c r="C74" s="9"/>
      <c r="D74" s="9"/>
      <c r="E74" s="9"/>
      <c r="F74" s="8"/>
      <c r="H74" s="9"/>
      <c r="I74" s="9"/>
      <c r="J74" s="9"/>
    </row>
    <row r="75" spans="2:10" ht="10.5" customHeight="1">
      <c r="B75" s="8"/>
      <c r="C75" s="9"/>
      <c r="D75" s="9"/>
      <c r="E75" s="9"/>
      <c r="F75" s="8"/>
      <c r="H75" s="9"/>
      <c r="I75" s="9"/>
      <c r="J75" s="9"/>
    </row>
    <row r="76" spans="2:10" ht="10.5" customHeight="1">
      <c r="B76" s="8"/>
      <c r="C76" s="9"/>
      <c r="D76" s="9"/>
      <c r="E76" s="9"/>
      <c r="F76" s="8"/>
      <c r="H76" s="9"/>
      <c r="I76" s="9"/>
      <c r="J76" s="9"/>
    </row>
    <row r="77" spans="2:10" ht="10.5" customHeight="1">
      <c r="B77" s="8"/>
      <c r="C77" s="9"/>
      <c r="D77" s="9"/>
      <c r="E77" s="9"/>
      <c r="F77" s="8"/>
      <c r="H77" s="9"/>
      <c r="I77" s="9"/>
      <c r="J77" s="9"/>
    </row>
    <row r="78" spans="2:10" ht="10.5" customHeight="1">
      <c r="B78" s="8"/>
      <c r="C78" s="9"/>
      <c r="D78" s="9"/>
      <c r="E78" s="9"/>
      <c r="F78" s="8"/>
      <c r="H78" s="9"/>
      <c r="I78" s="9"/>
      <c r="J78" s="9"/>
    </row>
    <row r="79" spans="2:10" ht="10.5" customHeight="1">
      <c r="B79" s="8"/>
      <c r="C79" s="9"/>
      <c r="D79" s="9"/>
      <c r="E79" s="9"/>
      <c r="F79" s="8"/>
      <c r="H79" s="9"/>
      <c r="I79" s="9"/>
      <c r="J79" s="9"/>
    </row>
    <row r="80" spans="2:10">
      <c r="C80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C25C-A637-9C4F-99F2-EEE59B30A5B9}">
  <dimension ref="A2:J86"/>
  <sheetViews>
    <sheetView zoomScale="115" zoomScaleNormal="115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B35" sqref="B35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12" si="0">C5&amp;"|"&amp;E5</f>
        <v>Item_Type|0</v>
      </c>
      <c r="C5" s="9" t="s">
        <v>249</v>
      </c>
      <c r="D5" s="9" t="s">
        <v>41</v>
      </c>
      <c r="E5" s="9">
        <v>0</v>
      </c>
      <c r="F5" s="8" t="e">
        <f>IF(H5="", "", H5&amp;IF(I5="", "", " | "&amp;I5)&amp;IF(#REF!="", "", " | "&amp;#REF!))</f>
        <v>#REF!</v>
      </c>
      <c r="H5" s="9" t="s">
        <v>55</v>
      </c>
      <c r="I5" s="9" t="s">
        <v>41</v>
      </c>
      <c r="J5" s="9"/>
    </row>
    <row r="6" spans="1:10">
      <c r="B6" s="8" t="str">
        <f t="shared" si="0"/>
        <v>Item_Type|101</v>
      </c>
      <c r="C6" s="9" t="s">
        <v>249</v>
      </c>
      <c r="D6" s="9" t="s">
        <v>63</v>
      </c>
      <c r="E6" s="9">
        <v>101</v>
      </c>
      <c r="F6" s="8" t="str">
        <f t="shared" ref="F6:F9" si="1">IF(H6="", "", H6&amp;IF(I6="", "", " | "&amp;I6)&amp;IF(J13="", "", " | "&amp;J13))</f>
        <v>아이템 타입 | Coin</v>
      </c>
      <c r="H6" s="9" t="s">
        <v>55</v>
      </c>
      <c r="I6" s="9" t="s">
        <v>63</v>
      </c>
      <c r="J6" s="9"/>
    </row>
    <row r="7" spans="1:10">
      <c r="B7" s="8" t="str">
        <f t="shared" si="0"/>
        <v>Item_Type|102</v>
      </c>
      <c r="C7" s="9" t="s">
        <v>249</v>
      </c>
      <c r="D7" s="9" t="s">
        <v>42</v>
      </c>
      <c r="E7" s="9">
        <v>102</v>
      </c>
      <c r="F7" s="8" t="str">
        <f t="shared" si="1"/>
        <v>아이템 타입 | Heart</v>
      </c>
      <c r="H7" s="9" t="s">
        <v>55</v>
      </c>
      <c r="I7" s="9" t="s">
        <v>42</v>
      </c>
      <c r="J7" s="9"/>
    </row>
    <row r="8" spans="1:10">
      <c r="B8" s="8" t="str">
        <f t="shared" si="0"/>
        <v>Item_Type|201</v>
      </c>
      <c r="C8" s="9" t="s">
        <v>249</v>
      </c>
      <c r="D8" s="9" t="s">
        <v>231</v>
      </c>
      <c r="E8" s="9">
        <v>201</v>
      </c>
      <c r="F8" s="8" t="str">
        <f t="shared" si="1"/>
        <v>아이템 타입 | FreezeTimer</v>
      </c>
      <c r="H8" s="9" t="s">
        <v>55</v>
      </c>
      <c r="I8" s="9" t="s">
        <v>231</v>
      </c>
      <c r="J8" s="9"/>
    </row>
    <row r="9" spans="1:10">
      <c r="B9" s="8" t="str">
        <f t="shared" si="0"/>
        <v>Item_Type|202</v>
      </c>
      <c r="C9" s="9" t="s">
        <v>249</v>
      </c>
      <c r="D9" s="9" t="s">
        <v>232</v>
      </c>
      <c r="E9" s="9">
        <v>202</v>
      </c>
      <c r="F9" s="8" t="str">
        <f t="shared" si="1"/>
        <v>아이템 타입 | Hammer</v>
      </c>
      <c r="H9" s="9" t="s">
        <v>55</v>
      </c>
      <c r="I9" s="9" t="s">
        <v>232</v>
      </c>
      <c r="J9" s="9"/>
    </row>
    <row r="10" spans="1:10">
      <c r="B10" s="8" t="str">
        <f t="shared" si="0"/>
        <v>Item_Type|203</v>
      </c>
      <c r="C10" s="9" t="s">
        <v>249</v>
      </c>
      <c r="D10" s="9" t="s">
        <v>233</v>
      </c>
      <c r="E10" s="9">
        <v>203</v>
      </c>
      <c r="F10" s="8" t="str">
        <f>IF(H10="", "", H10&amp;IF(I10="", "", " | "&amp;I10)&amp;IF(J28="", "", " | "&amp;J28))</f>
        <v>아이템 타입 | ColorVacuum</v>
      </c>
      <c r="H10" s="9" t="s">
        <v>55</v>
      </c>
      <c r="I10" s="9" t="s">
        <v>233</v>
      </c>
      <c r="J10" s="9"/>
    </row>
    <row r="11" spans="1:10">
      <c r="B11" s="8" t="str">
        <f t="shared" si="0"/>
        <v>Item_Type|204</v>
      </c>
      <c r="C11" s="9" t="s">
        <v>249</v>
      </c>
      <c r="D11" s="9" t="s">
        <v>234</v>
      </c>
      <c r="E11" s="9">
        <v>204</v>
      </c>
      <c r="F11" s="8" t="str">
        <f>IF(H11="", "", H11&amp;IF(I11="", "", " | "&amp;I11)&amp;IF(J29="", "", " | "&amp;J29))</f>
        <v>아이템 타입 | Rocket</v>
      </c>
      <c r="H11" s="9" t="s">
        <v>55</v>
      </c>
      <c r="I11" s="9" t="s">
        <v>234</v>
      </c>
      <c r="J11" s="9"/>
    </row>
    <row r="12" spans="1:10">
      <c r="B12" s="8" t="str">
        <f t="shared" si="0"/>
        <v>Item_Type|301</v>
      </c>
      <c r="C12" s="9" t="s">
        <v>249</v>
      </c>
      <c r="D12" s="9" t="s">
        <v>248</v>
      </c>
      <c r="E12" s="9">
        <v>301</v>
      </c>
      <c r="F12" s="8" t="str">
        <f>IF(H12="", "", H12&amp;IF(I12="", "", " | "&amp;I12)&amp;IF(J30="", "", " | "&amp;J30))</f>
        <v>아이템 타입 | InfiniteHeart</v>
      </c>
      <c r="H12" s="9" t="s">
        <v>55</v>
      </c>
      <c r="I12" s="9" t="s">
        <v>248</v>
      </c>
      <c r="J12" s="9"/>
    </row>
    <row r="13" spans="1:10">
      <c r="B13" s="8" t="str">
        <f t="shared" ref="B13:B14" si="2">C13&amp;"|"&amp;E13</f>
        <v>Item_Type|404</v>
      </c>
      <c r="C13" s="9" t="s">
        <v>249</v>
      </c>
      <c r="D13" s="9" t="s">
        <v>236</v>
      </c>
      <c r="E13" s="9">
        <v>404</v>
      </c>
      <c r="F13" s="8" t="str">
        <f t="shared" ref="F13:F23" si="3">IF(H13="", "", H13&amp;IF(I13="", "", " | "&amp;I13)&amp;IF(J35="", "", " | "&amp;J35))</f>
        <v>아이템 타입 | NoAds</v>
      </c>
      <c r="H13" s="9" t="s">
        <v>55</v>
      </c>
      <c r="I13" s="9" t="s">
        <v>235</v>
      </c>
      <c r="J13" s="9"/>
    </row>
    <row r="14" spans="1:10">
      <c r="B14" s="8" t="str">
        <f t="shared" si="2"/>
        <v>Item_Type|501</v>
      </c>
      <c r="C14" s="9" t="s">
        <v>249</v>
      </c>
      <c r="D14" s="9" t="s">
        <v>237</v>
      </c>
      <c r="E14" s="9">
        <v>501</v>
      </c>
      <c r="F14" s="8" t="str">
        <f t="shared" si="3"/>
        <v>아이템 타입 | AdditionalTime</v>
      </c>
      <c r="H14" s="9" t="s">
        <v>55</v>
      </c>
      <c r="I14" s="9" t="s">
        <v>237</v>
      </c>
      <c r="J14" s="9"/>
    </row>
    <row r="15" spans="1:10">
      <c r="B15" s="8" t="str">
        <f t="shared" ref="B15:B28" si="4">C15&amp;"|"&amp;E15</f>
        <v>Item_Type|502</v>
      </c>
      <c r="C15" s="9" t="s">
        <v>249</v>
      </c>
      <c r="D15" s="9" t="s">
        <v>239</v>
      </c>
      <c r="E15" s="9">
        <v>502</v>
      </c>
      <c r="F15" s="8" t="str">
        <f t="shared" si="3"/>
        <v>아이템 타입 | ReverseGate</v>
      </c>
      <c r="H15" s="9" t="s">
        <v>55</v>
      </c>
      <c r="I15" s="9" t="s">
        <v>238</v>
      </c>
      <c r="J15" s="9"/>
    </row>
    <row r="16" spans="1:10">
      <c r="B16" s="8" t="str">
        <f t="shared" si="4"/>
        <v>Item_Type|503</v>
      </c>
      <c r="C16" s="9" t="s">
        <v>249</v>
      </c>
      <c r="D16" s="9" t="s">
        <v>241</v>
      </c>
      <c r="E16" s="9">
        <v>503</v>
      </c>
      <c r="F16" s="8" t="str">
        <f t="shared" si="3"/>
        <v>아이템 타입 | AdditionalBombTime</v>
      </c>
      <c r="H16" s="9" t="s">
        <v>55</v>
      </c>
      <c r="I16" s="9" t="s">
        <v>240</v>
      </c>
      <c r="J16" s="9"/>
    </row>
    <row r="17" spans="2:10">
      <c r="B17" s="8" t="str">
        <f t="shared" si="4"/>
        <v>Item_Type|504</v>
      </c>
      <c r="C17" s="9" t="s">
        <v>249</v>
      </c>
      <c r="D17" s="9" t="s">
        <v>402</v>
      </c>
      <c r="E17" s="9">
        <v>504</v>
      </c>
      <c r="F17" s="8" t="str">
        <f t="shared" si="3"/>
        <v>아이템 타입 | DoorLockMove</v>
      </c>
      <c r="H17" s="9" t="s">
        <v>55</v>
      </c>
      <c r="I17" s="9" t="s">
        <v>402</v>
      </c>
      <c r="J17" s="9"/>
    </row>
    <row r="18" spans="2:10">
      <c r="B18" s="8" t="str">
        <f t="shared" si="4"/>
        <v>Item_Type|505</v>
      </c>
      <c r="C18" s="9" t="s">
        <v>249</v>
      </c>
      <c r="D18" s="9" t="s">
        <v>466</v>
      </c>
      <c r="E18" s="9">
        <v>505</v>
      </c>
      <c r="F18" s="8" t="str">
        <f t="shared" si="3"/>
        <v>아이템 타입 | ChangeGateColor</v>
      </c>
      <c r="H18" s="9" t="s">
        <v>55</v>
      </c>
      <c r="I18" s="9" t="s">
        <v>466</v>
      </c>
      <c r="J18" s="9"/>
    </row>
    <row r="19" spans="2:10">
      <c r="B19" s="8" t="str">
        <f t="shared" si="4"/>
        <v>Item_Type|506</v>
      </c>
      <c r="C19" s="9" t="s">
        <v>249</v>
      </c>
      <c r="D19" s="9" t="s">
        <v>467</v>
      </c>
      <c r="E19" s="9">
        <v>506</v>
      </c>
      <c r="F19" s="8" t="str">
        <f t="shared" si="3"/>
        <v>아이템 타입 | ChangeGateSize</v>
      </c>
      <c r="H19" s="9" t="s">
        <v>55</v>
      </c>
      <c r="I19" s="9" t="s">
        <v>467</v>
      </c>
      <c r="J19" s="9"/>
    </row>
    <row r="20" spans="2:10">
      <c r="B20" s="8" t="str">
        <f t="shared" si="4"/>
        <v>Item_Type|507</v>
      </c>
      <c r="C20" s="9" t="s">
        <v>249</v>
      </c>
      <c r="D20" s="9" t="s">
        <v>468</v>
      </c>
      <c r="E20" s="9">
        <v>507</v>
      </c>
      <c r="F20" s="8" t="str">
        <f t="shared" si="3"/>
        <v>아이템 타입 | AddDynamiteCount</v>
      </c>
      <c r="H20" s="9" t="s">
        <v>55</v>
      </c>
      <c r="I20" s="9" t="s">
        <v>468</v>
      </c>
      <c r="J20" s="9"/>
    </row>
    <row r="21" spans="2:10">
      <c r="B21" s="8" t="str">
        <f t="shared" si="4"/>
        <v>Item_Type|508</v>
      </c>
      <c r="C21" s="9" t="s">
        <v>249</v>
      </c>
      <c r="D21" s="9" t="s">
        <v>469</v>
      </c>
      <c r="E21" s="9">
        <v>508</v>
      </c>
      <c r="F21" s="8" t="str">
        <f t="shared" si="3"/>
        <v>아이템 타입 | ReverseCurtain</v>
      </c>
      <c r="H21" s="9" t="s">
        <v>55</v>
      </c>
      <c r="I21" s="9" t="s">
        <v>469</v>
      </c>
      <c r="J21" s="9"/>
    </row>
    <row r="22" spans="2:10">
      <c r="B22" s="8" t="str">
        <f t="shared" si="4"/>
        <v>Item_Type|509</v>
      </c>
      <c r="C22" s="9" t="s">
        <v>249</v>
      </c>
      <c r="D22" s="9" t="s">
        <v>470</v>
      </c>
      <c r="E22" s="9">
        <v>509</v>
      </c>
      <c r="F22" s="8" t="str">
        <f t="shared" si="3"/>
        <v>아이템 타입 | SwitchGateColor</v>
      </c>
      <c r="H22" s="9" t="s">
        <v>55</v>
      </c>
      <c r="I22" s="9" t="s">
        <v>470</v>
      </c>
      <c r="J22" s="9"/>
    </row>
    <row r="23" spans="2:10">
      <c r="B23" s="8" t="str">
        <f t="shared" si="4"/>
        <v>Item_Type|510</v>
      </c>
      <c r="C23" s="9" t="s">
        <v>249</v>
      </c>
      <c r="D23" s="9" t="s">
        <v>471</v>
      </c>
      <c r="E23" s="9">
        <v>510</v>
      </c>
      <c r="F23" s="8" t="str">
        <f t="shared" si="3"/>
        <v>아이템 타입 | JumpingSingleDoorMove</v>
      </c>
      <c r="H23" s="9" t="s">
        <v>55</v>
      </c>
      <c r="I23" s="9" t="s">
        <v>471</v>
      </c>
      <c r="J23" s="9"/>
    </row>
    <row r="24" spans="2:10">
      <c r="B24" s="8" t="str">
        <f t="shared" si="4"/>
        <v>Item_Type|601</v>
      </c>
      <c r="C24" s="9" t="s">
        <v>249</v>
      </c>
      <c r="D24" s="9" t="s">
        <v>415</v>
      </c>
      <c r="E24" s="9">
        <v>601</v>
      </c>
      <c r="F24" s="8" t="str">
        <f>IF(H24="", "", H24&amp;IF(I24="", "", " | "&amp;I24)&amp;IF(J40="", "", " | "&amp;J40))</f>
        <v>아이템 타입 | AddTimer 부스터</v>
      </c>
      <c r="H24" s="9" t="s">
        <v>55</v>
      </c>
      <c r="I24" s="9" t="s">
        <v>416</v>
      </c>
      <c r="J24" s="9"/>
    </row>
    <row r="25" spans="2:10">
      <c r="B25" s="8" t="str">
        <f t="shared" si="4"/>
        <v>Item_Type|602</v>
      </c>
      <c r="C25" s="9" t="s">
        <v>249</v>
      </c>
      <c r="D25" s="9" t="s">
        <v>417</v>
      </c>
      <c r="E25" s="9">
        <v>602</v>
      </c>
      <c r="F25" s="8" t="str">
        <f>IF(H25="", "", H25&amp;IF(I25="", "", " | "&amp;I25)&amp;IF(J41="", "", " | "&amp;J41))</f>
        <v>아이템 타입 | RandomRocket 부스터</v>
      </c>
      <c r="H25" s="9" t="s">
        <v>55</v>
      </c>
      <c r="I25" s="9" t="s">
        <v>418</v>
      </c>
      <c r="J25" s="9"/>
    </row>
    <row r="26" spans="2:10">
      <c r="B26" s="8" t="str">
        <f t="shared" si="4"/>
        <v>Item_Type|603</v>
      </c>
      <c r="C26" s="9" t="s">
        <v>249</v>
      </c>
      <c r="D26" s="9" t="s">
        <v>473</v>
      </c>
      <c r="E26" s="9">
        <v>603</v>
      </c>
      <c r="F26" s="8" t="str">
        <f t="shared" ref="F26:F27" si="5">IF(H26="", "", H26&amp;IF(I26="", "", " | "&amp;I26)&amp;IF(J42="", "", " | "&amp;J42))</f>
        <v>아이템 타입 | InfiniteAddTimer</v>
      </c>
      <c r="H26" s="9" t="s">
        <v>55</v>
      </c>
      <c r="I26" s="9" t="s">
        <v>473</v>
      </c>
      <c r="J26" s="9"/>
    </row>
    <row r="27" spans="2:10">
      <c r="B27" s="8" t="str">
        <f t="shared" si="4"/>
        <v>Item_Type|604</v>
      </c>
      <c r="C27" s="9" t="s">
        <v>249</v>
      </c>
      <c r="D27" s="9" t="s">
        <v>474</v>
      </c>
      <c r="E27" s="9">
        <v>604</v>
      </c>
      <c r="F27" s="8" t="str">
        <f t="shared" si="5"/>
        <v>아이템 타입 | InfiniteRandomRocket</v>
      </c>
      <c r="H27" s="9" t="s">
        <v>55</v>
      </c>
      <c r="I27" s="9" t="s">
        <v>474</v>
      </c>
      <c r="J27" s="9"/>
    </row>
    <row r="28" spans="2:10">
      <c r="B28" s="8" t="str">
        <f t="shared" si="4"/>
        <v>Item_GetType|0</v>
      </c>
      <c r="C28" s="9" t="s">
        <v>261</v>
      </c>
      <c r="D28" s="9" t="s">
        <v>262</v>
      </c>
      <c r="E28" s="9">
        <v>0</v>
      </c>
      <c r="F28" s="8" t="str">
        <f t="shared" ref="F28:F36" si="6">IF(H28="", "", H28&amp;IF(I28="", "", " | "&amp;I28)&amp;IF(J39="", "", " | "&amp;J39))</f>
        <v>아이템 획득 방법 | None</v>
      </c>
      <c r="H28" s="9" t="s">
        <v>263</v>
      </c>
      <c r="I28" s="9" t="s">
        <v>262</v>
      </c>
      <c r="J28" s="9"/>
    </row>
    <row r="29" spans="2:10">
      <c r="B29" s="8" t="str">
        <f t="shared" ref="B29" si="7">C29&amp;"|"&amp;E29</f>
        <v>Item_GetType|1</v>
      </c>
      <c r="C29" s="9" t="s">
        <v>261</v>
      </c>
      <c r="D29" s="9" t="s">
        <v>264</v>
      </c>
      <c r="E29" s="9">
        <v>1</v>
      </c>
      <c r="F29" s="8" t="str">
        <f t="shared" si="6"/>
        <v>아이템 획득 방법 | Default(초기 사용자 계정에 지급된 상태)</v>
      </c>
      <c r="H29" s="9" t="s">
        <v>263</v>
      </c>
      <c r="I29" s="9" t="s">
        <v>267</v>
      </c>
      <c r="J29" s="9"/>
    </row>
    <row r="30" spans="2:10">
      <c r="B30" s="8" t="str">
        <f t="shared" ref="B30" si="8">C30&amp;"|"&amp;E30</f>
        <v>Item_GetType|2</v>
      </c>
      <c r="C30" s="9" t="s">
        <v>261</v>
      </c>
      <c r="D30" s="9" t="s">
        <v>265</v>
      </c>
      <c r="E30" s="9">
        <v>2</v>
      </c>
      <c r="F30" s="8" t="str">
        <f t="shared" si="6"/>
        <v>아이템 획득 방법 | Price(Item_Price 지급)</v>
      </c>
      <c r="H30" s="9" t="s">
        <v>263</v>
      </c>
      <c r="I30" s="9" t="s">
        <v>268</v>
      </c>
      <c r="J30" s="9"/>
    </row>
    <row r="31" spans="2:10">
      <c r="B31" s="8" t="str">
        <f t="shared" ref="B31:B36" si="9">C31&amp;"|"&amp;E31</f>
        <v>Item_GetType|3</v>
      </c>
      <c r="C31" s="9" t="s">
        <v>261</v>
      </c>
      <c r="D31" s="9" t="s">
        <v>266</v>
      </c>
      <c r="E31" s="9">
        <v>3</v>
      </c>
      <c r="F31" s="8" t="str">
        <f t="shared" si="6"/>
        <v>아이템 획득 방법 | AdsFree</v>
      </c>
      <c r="H31" s="9" t="s">
        <v>263</v>
      </c>
      <c r="I31" s="9" t="s">
        <v>266</v>
      </c>
      <c r="J31" s="9"/>
    </row>
    <row r="32" spans="2:10">
      <c r="B32" s="8" t="str">
        <f t="shared" si="9"/>
        <v>Item_Category|0</v>
      </c>
      <c r="C32" s="9" t="s">
        <v>269</v>
      </c>
      <c r="D32" s="9" t="s">
        <v>262</v>
      </c>
      <c r="E32" s="9">
        <v>0</v>
      </c>
      <c r="F32" s="8" t="str">
        <f t="shared" si="6"/>
        <v>아이템 카테고리 | None</v>
      </c>
      <c r="H32" s="9" t="s">
        <v>274</v>
      </c>
      <c r="I32" s="9" t="s">
        <v>262</v>
      </c>
      <c r="J32" s="9"/>
    </row>
    <row r="33" spans="2:10">
      <c r="B33" s="8" t="str">
        <f t="shared" si="9"/>
        <v>Item_Category|1</v>
      </c>
      <c r="C33" s="9" t="s">
        <v>269</v>
      </c>
      <c r="D33" s="9" t="s">
        <v>270</v>
      </c>
      <c r="E33" s="9">
        <v>1</v>
      </c>
      <c r="F33" s="8" t="str">
        <f t="shared" si="6"/>
        <v>아이템 카테고리 | 재화</v>
      </c>
      <c r="H33" s="9" t="s">
        <v>274</v>
      </c>
      <c r="I33" s="9" t="s">
        <v>275</v>
      </c>
      <c r="J33" s="9"/>
    </row>
    <row r="34" spans="2:10" ht="10.5" customHeight="1">
      <c r="B34" s="8" t="str">
        <f t="shared" si="9"/>
        <v>Item_Category|2</v>
      </c>
      <c r="C34" s="9" t="s">
        <v>269</v>
      </c>
      <c r="D34" s="9" t="s">
        <v>271</v>
      </c>
      <c r="E34" s="9">
        <v>2</v>
      </c>
      <c r="F34" s="8" t="str">
        <f t="shared" si="6"/>
        <v>아이템 카테고리 | 소비성 아이템</v>
      </c>
      <c r="H34" s="9" t="s">
        <v>274</v>
      </c>
      <c r="I34" s="9" t="s">
        <v>276</v>
      </c>
      <c r="J34" s="9"/>
    </row>
    <row r="35" spans="2:10" ht="10.5" customHeight="1">
      <c r="B35" s="8" t="str">
        <f t="shared" si="9"/>
        <v>Item_Category|3</v>
      </c>
      <c r="C35" s="9" t="s">
        <v>269</v>
      </c>
      <c r="D35" s="9" t="s">
        <v>272</v>
      </c>
      <c r="E35" s="9">
        <v>3</v>
      </c>
      <c r="F35" s="8" t="str">
        <f t="shared" si="6"/>
        <v>아이템 카테고리 | 버프</v>
      </c>
      <c r="H35" s="9" t="s">
        <v>274</v>
      </c>
      <c r="I35" s="9" t="s">
        <v>277</v>
      </c>
      <c r="J35" s="9"/>
    </row>
    <row r="36" spans="2:10" ht="10.5" customHeight="1">
      <c r="B36" s="8" t="str">
        <f t="shared" si="9"/>
        <v>Item_Category|4</v>
      </c>
      <c r="C36" s="9" t="s">
        <v>269</v>
      </c>
      <c r="D36" s="9" t="s">
        <v>273</v>
      </c>
      <c r="E36" s="9">
        <v>4</v>
      </c>
      <c r="F36" s="8" t="str">
        <f t="shared" si="6"/>
        <v>아이템 카테고리 | 이어 하기 아이템</v>
      </c>
      <c r="H36" s="9" t="s">
        <v>274</v>
      </c>
      <c r="I36" s="9" t="s">
        <v>278</v>
      </c>
      <c r="J36" s="9"/>
    </row>
    <row r="37" spans="2:10" ht="10.5" customHeight="1">
      <c r="B37" s="8" t="str">
        <f t="shared" ref="B37" si="10">C37&amp;"|"&amp;E37</f>
        <v>Item_Category|5</v>
      </c>
      <c r="C37" s="9" t="s">
        <v>269</v>
      </c>
      <c r="D37" s="9" t="s">
        <v>413</v>
      </c>
      <c r="E37" s="9">
        <v>5</v>
      </c>
      <c r="F37" s="8" t="str">
        <f t="shared" ref="F37" si="11">IF(H37="", "", H37&amp;IF(I37="", "", " | "&amp;I37)&amp;IF(J48="", "", " | "&amp;J48))</f>
        <v>아이템 카테고리 | 스타팅 부스터</v>
      </c>
      <c r="H37" s="9" t="s">
        <v>274</v>
      </c>
      <c r="I37" s="9" t="s">
        <v>414</v>
      </c>
      <c r="J37" s="9"/>
    </row>
    <row r="38" spans="2:10" ht="10.5" customHeight="1">
      <c r="B38" s="8"/>
      <c r="C38" s="9"/>
      <c r="D38" s="9"/>
      <c r="E38" s="9"/>
      <c r="F38" s="8"/>
      <c r="H38" s="9"/>
      <c r="I38" s="9"/>
      <c r="J38" s="9"/>
    </row>
    <row r="39" spans="2:10" ht="10.5" customHeight="1">
      <c r="B39" s="8"/>
      <c r="C39" s="9"/>
      <c r="D39" s="9"/>
      <c r="E39" s="9"/>
      <c r="F39" s="8"/>
      <c r="H39" s="9"/>
      <c r="I39" s="9"/>
      <c r="J39" s="9"/>
    </row>
    <row r="40" spans="2:10" ht="10.5" customHeight="1">
      <c r="B40" s="8"/>
      <c r="C40" s="9"/>
      <c r="D40" s="9"/>
      <c r="E40" s="9"/>
      <c r="F40" s="8"/>
      <c r="H40" s="9"/>
      <c r="I40" s="9"/>
      <c r="J40" s="9"/>
    </row>
    <row r="41" spans="2:10" ht="10.5" customHeight="1">
      <c r="B41" s="8"/>
      <c r="C41" s="9"/>
      <c r="D41" s="9"/>
      <c r="E41" s="9"/>
      <c r="F41" s="8"/>
      <c r="H41" s="9"/>
      <c r="I41" s="9"/>
      <c r="J41" s="9"/>
    </row>
    <row r="42" spans="2:10" ht="10.5" customHeight="1">
      <c r="B42" s="8"/>
      <c r="C42" s="9"/>
      <c r="D42" s="9"/>
      <c r="E42" s="9"/>
      <c r="F42" s="8"/>
      <c r="H42" s="9"/>
      <c r="I42" s="9"/>
      <c r="J42" s="9"/>
    </row>
    <row r="43" spans="2:10" ht="10.5" customHeight="1">
      <c r="B43" s="8"/>
      <c r="C43" s="9"/>
      <c r="D43" s="9"/>
      <c r="E43" s="9"/>
      <c r="F43" s="8"/>
      <c r="H43" s="9"/>
      <c r="I43" s="9"/>
      <c r="J43" s="9"/>
    </row>
    <row r="44" spans="2:10" ht="10.5" customHeight="1">
      <c r="B44" s="8"/>
      <c r="C44" s="9"/>
      <c r="D44" s="9"/>
      <c r="E44" s="9"/>
      <c r="F44" s="8"/>
      <c r="H44" s="9"/>
      <c r="I44" s="9"/>
      <c r="J44" s="9"/>
    </row>
    <row r="45" spans="2:10" ht="10.5" customHeight="1">
      <c r="B45" s="8"/>
      <c r="C45" s="9"/>
      <c r="D45" s="9"/>
      <c r="E45" s="9"/>
      <c r="F45" s="8"/>
      <c r="H45" s="9"/>
      <c r="I45" s="9"/>
      <c r="J45" s="9"/>
    </row>
    <row r="46" spans="2:10" ht="10.5" customHeight="1">
      <c r="B46" s="8"/>
      <c r="C46" s="9"/>
      <c r="D46" s="9"/>
      <c r="E46" s="9"/>
      <c r="F46" s="8"/>
      <c r="H46" s="9"/>
      <c r="I46" s="9"/>
      <c r="J46" s="9"/>
    </row>
    <row r="47" spans="2:10" ht="10.5" customHeight="1">
      <c r="B47" s="8"/>
      <c r="C47" s="9"/>
      <c r="D47" s="9"/>
      <c r="E47" s="9"/>
      <c r="F47" s="8"/>
      <c r="H47" s="9"/>
      <c r="I47" s="9"/>
      <c r="J47" s="9"/>
    </row>
    <row r="48" spans="2:10" ht="10.5" customHeight="1">
      <c r="B48" s="8"/>
      <c r="C48" s="9"/>
      <c r="D48" s="9"/>
      <c r="E48" s="9"/>
      <c r="F48" s="8"/>
      <c r="H48" s="9"/>
      <c r="I48" s="9"/>
      <c r="J48" s="9"/>
    </row>
    <row r="49" spans="2:10" ht="10.5" customHeight="1">
      <c r="B49" s="8"/>
      <c r="C49" s="9"/>
      <c r="D49" s="9"/>
      <c r="E49" s="9"/>
      <c r="F49" s="8"/>
      <c r="H49" s="9"/>
      <c r="I49" s="9"/>
      <c r="J49" s="9"/>
    </row>
    <row r="50" spans="2:10" ht="10.5" customHeight="1">
      <c r="B50" s="8"/>
      <c r="C50" s="9"/>
      <c r="D50" s="9"/>
      <c r="E50" s="9"/>
      <c r="F50" s="8"/>
      <c r="H50" s="9"/>
      <c r="I50" s="9"/>
      <c r="J50" s="9"/>
    </row>
    <row r="51" spans="2:10" ht="10.5" customHeight="1">
      <c r="B51" s="8"/>
      <c r="C51" s="9"/>
      <c r="D51" s="9"/>
      <c r="E51" s="9"/>
      <c r="F51" s="8"/>
      <c r="H51" s="9"/>
      <c r="I51" s="9"/>
      <c r="J51" s="9"/>
    </row>
    <row r="52" spans="2:10" ht="10.5" customHeight="1">
      <c r="B52" s="8"/>
      <c r="C52" s="9"/>
      <c r="D52" s="9"/>
      <c r="E52" s="9"/>
      <c r="F52" s="8"/>
      <c r="H52" s="9"/>
      <c r="I52" s="9"/>
      <c r="J52" s="9"/>
    </row>
    <row r="53" spans="2:10" ht="10.5" customHeight="1">
      <c r="B53" s="8"/>
      <c r="C53" s="9"/>
      <c r="D53" s="9"/>
      <c r="E53" s="9"/>
      <c r="F53" s="8"/>
      <c r="H53" s="9"/>
      <c r="I53" s="9"/>
      <c r="J53" s="9"/>
    </row>
    <row r="54" spans="2:10" ht="10.5" customHeight="1">
      <c r="B54" s="8"/>
      <c r="C54" s="9"/>
      <c r="D54" s="9"/>
      <c r="E54" s="9"/>
      <c r="F54" s="8"/>
      <c r="H54" s="9"/>
      <c r="I54" s="9"/>
      <c r="J54" s="9"/>
    </row>
    <row r="55" spans="2:10" ht="10.5" customHeight="1">
      <c r="B55" s="8"/>
      <c r="C55" s="9"/>
      <c r="D55" s="9"/>
      <c r="E55" s="9"/>
      <c r="F55" s="8"/>
      <c r="H55" s="9"/>
      <c r="I55" s="9"/>
      <c r="J55" s="9"/>
    </row>
    <row r="56" spans="2:10" ht="10.5" customHeight="1">
      <c r="B56" s="8"/>
      <c r="C56" s="9"/>
      <c r="D56" s="9"/>
      <c r="E56" s="9"/>
      <c r="F56" s="8"/>
      <c r="H56" s="9"/>
      <c r="I56" s="9"/>
      <c r="J56" s="9"/>
    </row>
    <row r="57" spans="2:10" ht="10.5" customHeight="1">
      <c r="B57" s="8"/>
      <c r="C57" s="9"/>
      <c r="D57" s="9"/>
      <c r="E57" s="9"/>
      <c r="F57" s="8"/>
      <c r="H57" s="9"/>
      <c r="I57" s="9"/>
      <c r="J57" s="9"/>
    </row>
    <row r="58" spans="2:10" ht="10.5" customHeight="1">
      <c r="B58" s="8"/>
      <c r="C58" s="9"/>
      <c r="D58" s="9"/>
      <c r="E58" s="9"/>
      <c r="F58" s="8"/>
      <c r="H58" s="9"/>
      <c r="I58" s="9"/>
      <c r="J58" s="9"/>
    </row>
    <row r="59" spans="2:10" ht="10.5" customHeight="1">
      <c r="B59" s="8"/>
      <c r="C59" s="9"/>
      <c r="D59" s="9"/>
      <c r="E59" s="9"/>
      <c r="F59" s="8"/>
      <c r="H59" s="9"/>
      <c r="I59" s="9"/>
      <c r="J59" s="9"/>
    </row>
    <row r="60" spans="2:10" ht="10.5" customHeight="1">
      <c r="B60" s="8"/>
      <c r="C60" s="9"/>
      <c r="D60" s="9"/>
      <c r="E60" s="9"/>
      <c r="F60" s="8"/>
      <c r="H60" s="9"/>
      <c r="I60" s="9"/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J63" s="9"/>
    </row>
    <row r="64" spans="2:10" ht="10.5" customHeight="1">
      <c r="J64" s="9"/>
    </row>
    <row r="65" spans="2:10" ht="10.5" customHeight="1">
      <c r="J65" s="9"/>
    </row>
    <row r="66" spans="2:10" ht="10.5" customHeight="1">
      <c r="J66" s="9"/>
    </row>
    <row r="67" spans="2:10" ht="10.5" customHeight="1">
      <c r="J67" s="9"/>
    </row>
    <row r="68" spans="2:10" ht="10.5" customHeight="1">
      <c r="J68" s="9"/>
    </row>
    <row r="69" spans="2:10" ht="10.5" customHeight="1">
      <c r="J69" s="9"/>
    </row>
    <row r="70" spans="2:10" ht="10.5" customHeight="1">
      <c r="J70" s="9"/>
    </row>
    <row r="71" spans="2:10" ht="10.5" customHeight="1">
      <c r="J71" s="9"/>
    </row>
    <row r="72" spans="2:10" ht="10.5" customHeight="1">
      <c r="J72" s="9"/>
    </row>
    <row r="73" spans="2:10" ht="10.5" customHeight="1">
      <c r="J73" s="9"/>
    </row>
    <row r="74" spans="2:10" ht="10.5" customHeight="1">
      <c r="B74" s="8"/>
      <c r="C74" s="9"/>
      <c r="D74" s="9"/>
      <c r="E74" s="9"/>
      <c r="F74" s="8"/>
      <c r="H74" s="9"/>
      <c r="I74" s="9"/>
      <c r="J74" s="9"/>
    </row>
    <row r="75" spans="2:10" ht="10.5" customHeight="1">
      <c r="B75" s="8"/>
      <c r="C75" s="9"/>
      <c r="D75" s="9"/>
      <c r="E75" s="9"/>
      <c r="F75" s="8"/>
      <c r="H75" s="9"/>
      <c r="I75" s="9"/>
      <c r="J75" s="9"/>
    </row>
    <row r="76" spans="2:10" ht="10.5" customHeight="1">
      <c r="J76" s="9"/>
    </row>
    <row r="77" spans="2:10" ht="10.5" customHeight="1">
      <c r="J77" s="9"/>
    </row>
    <row r="78" spans="2:10" ht="10.5" customHeight="1">
      <c r="J78" s="9"/>
    </row>
    <row r="79" spans="2:10" ht="10.5" customHeight="1">
      <c r="J79" s="9"/>
    </row>
    <row r="80" spans="2:10" ht="10.5" customHeight="1">
      <c r="J80" s="9"/>
    </row>
    <row r="81" spans="10:10" ht="10.5" customHeight="1">
      <c r="J81" s="9"/>
    </row>
    <row r="82" spans="10:10" ht="10.5" customHeight="1">
      <c r="J82" s="9"/>
    </row>
    <row r="83" spans="10:10" ht="10.5" customHeight="1">
      <c r="J83" s="9"/>
    </row>
    <row r="84" spans="10:10" ht="10.5" customHeight="1">
      <c r="J84" s="9"/>
    </row>
    <row r="85" spans="10:10" ht="10.5" customHeight="1">
      <c r="J85" s="9"/>
    </row>
    <row r="86" spans="10:10" ht="10.5" customHeight="1">
      <c r="J86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5F58-BC2E-4045-AC64-DBAD56DF90F5}">
  <dimension ref="A2:J79"/>
  <sheetViews>
    <sheetView zoomScale="115" zoomScaleNormal="115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C33" sqref="C33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15" si="0">C5&amp;"|"&amp;E5</f>
        <v>HapticType|0</v>
      </c>
      <c r="C5" s="9" t="s">
        <v>43</v>
      </c>
      <c r="D5" s="9" t="s">
        <v>44</v>
      </c>
      <c r="E5" s="9">
        <v>0</v>
      </c>
      <c r="F5" s="8" t="str">
        <f t="shared" ref="F5:F15" si="1">IF(H5="", "", H5&amp;IF(I5="", "", " | "&amp;I5)&amp;IF(J25="", "", " | "&amp;J25))</f>
        <v>진동 타입 | Constant</v>
      </c>
      <c r="H5" s="9" t="s">
        <v>56</v>
      </c>
      <c r="I5" s="9" t="s">
        <v>44</v>
      </c>
      <c r="J5" s="9"/>
    </row>
    <row r="6" spans="1:10">
      <c r="B6" s="8" t="str">
        <f t="shared" si="0"/>
        <v>HapticType|1</v>
      </c>
      <c r="C6" s="9" t="s">
        <v>43</v>
      </c>
      <c r="D6" s="9" t="s">
        <v>45</v>
      </c>
      <c r="E6" s="9">
        <v>1</v>
      </c>
      <c r="F6" s="8" t="str">
        <f t="shared" si="1"/>
        <v>진동 타입 | Preset_Selection</v>
      </c>
      <c r="H6" s="9" t="s">
        <v>56</v>
      </c>
      <c r="I6" s="9" t="s">
        <v>45</v>
      </c>
      <c r="J6" s="9"/>
    </row>
    <row r="7" spans="1:10">
      <c r="B7" s="8" t="str">
        <f t="shared" si="0"/>
        <v>HapticType|2</v>
      </c>
      <c r="C7" s="9" t="s">
        <v>43</v>
      </c>
      <c r="D7" s="9" t="s">
        <v>46</v>
      </c>
      <c r="E7" s="9">
        <v>2</v>
      </c>
      <c r="F7" s="8" t="str">
        <f t="shared" si="1"/>
        <v>진동 타입 | Preset_Success</v>
      </c>
      <c r="H7" s="9" t="s">
        <v>56</v>
      </c>
      <c r="I7" s="9" t="s">
        <v>46</v>
      </c>
      <c r="J7" s="9"/>
    </row>
    <row r="8" spans="1:10">
      <c r="B8" s="8" t="str">
        <f t="shared" si="0"/>
        <v>HapticType|3</v>
      </c>
      <c r="C8" s="9" t="s">
        <v>43</v>
      </c>
      <c r="D8" s="9" t="s">
        <v>47</v>
      </c>
      <c r="E8" s="9">
        <v>3</v>
      </c>
      <c r="F8" s="8" t="str">
        <f t="shared" si="1"/>
        <v>진동 타입 | Preset_Warning</v>
      </c>
      <c r="H8" s="9" t="s">
        <v>56</v>
      </c>
      <c r="I8" s="9" t="s">
        <v>47</v>
      </c>
      <c r="J8" s="9"/>
    </row>
    <row r="9" spans="1:10">
      <c r="B9" s="8" t="str">
        <f t="shared" si="0"/>
        <v>HapticType|4</v>
      </c>
      <c r="C9" s="9" t="s">
        <v>43</v>
      </c>
      <c r="D9" s="9" t="s">
        <v>48</v>
      </c>
      <c r="E9" s="9">
        <v>4</v>
      </c>
      <c r="F9" s="8" t="str">
        <f t="shared" si="1"/>
        <v>진동 타입 | Preset_Failure</v>
      </c>
      <c r="H9" s="9" t="s">
        <v>56</v>
      </c>
      <c r="I9" s="9" t="s">
        <v>48</v>
      </c>
      <c r="J9" s="9"/>
    </row>
    <row r="10" spans="1:10">
      <c r="B10" s="8" t="str">
        <f t="shared" si="0"/>
        <v>HapticType|5</v>
      </c>
      <c r="C10" s="9" t="s">
        <v>43</v>
      </c>
      <c r="D10" s="9" t="s">
        <v>49</v>
      </c>
      <c r="E10" s="9">
        <v>5</v>
      </c>
      <c r="F10" s="8" t="str">
        <f t="shared" si="1"/>
        <v>진동 타입 | Preset_LightImpact</v>
      </c>
      <c r="H10" s="9" t="s">
        <v>56</v>
      </c>
      <c r="I10" s="9" t="s">
        <v>49</v>
      </c>
      <c r="J10" s="9"/>
    </row>
    <row r="11" spans="1:10">
      <c r="B11" s="8" t="str">
        <f t="shared" si="0"/>
        <v>HapticType|6</v>
      </c>
      <c r="C11" s="9" t="s">
        <v>43</v>
      </c>
      <c r="D11" s="9" t="s">
        <v>50</v>
      </c>
      <c r="E11" s="9">
        <v>6</v>
      </c>
      <c r="F11" s="8" t="str">
        <f t="shared" si="1"/>
        <v>진동 타입 | Preset_MediumImpact</v>
      </c>
      <c r="H11" s="9" t="s">
        <v>56</v>
      </c>
      <c r="I11" s="9" t="s">
        <v>50</v>
      </c>
      <c r="J11" s="9"/>
    </row>
    <row r="12" spans="1:10">
      <c r="B12" s="8" t="str">
        <f t="shared" si="0"/>
        <v>HapticType|7</v>
      </c>
      <c r="C12" s="9" t="s">
        <v>43</v>
      </c>
      <c r="D12" s="9" t="s">
        <v>51</v>
      </c>
      <c r="E12" s="9">
        <v>7</v>
      </c>
      <c r="F12" s="8" t="str">
        <f t="shared" si="1"/>
        <v>진동 타입 | Preset_HeavyImpact</v>
      </c>
      <c r="H12" s="9" t="s">
        <v>56</v>
      </c>
      <c r="I12" s="9" t="s">
        <v>51</v>
      </c>
      <c r="J12" s="9"/>
    </row>
    <row r="13" spans="1:10">
      <c r="B13" s="8" t="str">
        <f t="shared" si="0"/>
        <v>HapticType|8</v>
      </c>
      <c r="C13" s="9" t="s">
        <v>43</v>
      </c>
      <c r="D13" s="9" t="s">
        <v>52</v>
      </c>
      <c r="E13" s="9">
        <v>8</v>
      </c>
      <c r="F13" s="8" t="str">
        <f t="shared" si="1"/>
        <v>진동 타입 | Preset_RigidImpact</v>
      </c>
      <c r="H13" s="9" t="s">
        <v>56</v>
      </c>
      <c r="I13" s="9" t="s">
        <v>52</v>
      </c>
      <c r="J13" s="9"/>
    </row>
    <row r="14" spans="1:10">
      <c r="B14" s="8" t="str">
        <f t="shared" si="0"/>
        <v>HapticType|9</v>
      </c>
      <c r="C14" s="9" t="s">
        <v>43</v>
      </c>
      <c r="D14" s="9" t="s">
        <v>53</v>
      </c>
      <c r="E14" s="9">
        <v>9</v>
      </c>
      <c r="F14" s="8" t="str">
        <f t="shared" si="1"/>
        <v>진동 타입 | Preset_SoftImpact</v>
      </c>
      <c r="H14" s="9" t="s">
        <v>56</v>
      </c>
      <c r="I14" s="9" t="s">
        <v>53</v>
      </c>
      <c r="J14" s="9"/>
    </row>
    <row r="15" spans="1:10">
      <c r="B15" s="8" t="str">
        <f t="shared" si="0"/>
        <v>HapticType|10</v>
      </c>
      <c r="C15" s="9" t="s">
        <v>43</v>
      </c>
      <c r="D15" s="9" t="s">
        <v>54</v>
      </c>
      <c r="E15" s="9">
        <v>10</v>
      </c>
      <c r="F15" s="8" t="str">
        <f t="shared" si="1"/>
        <v>진동 타입 | Haptic_Clip</v>
      </c>
      <c r="H15" s="9" t="s">
        <v>56</v>
      </c>
      <c r="I15" s="9" t="s">
        <v>54</v>
      </c>
      <c r="J15" s="9"/>
    </row>
    <row r="16" spans="1:10">
      <c r="B16" s="8"/>
      <c r="C16" s="9"/>
      <c r="D16" s="9"/>
      <c r="E16" s="9"/>
      <c r="F16" s="8"/>
      <c r="H16" s="9"/>
      <c r="I16" s="9"/>
      <c r="J16" s="9"/>
    </row>
    <row r="17" spans="2:10">
      <c r="B17" s="8"/>
      <c r="C17" s="9"/>
      <c r="D17" s="9"/>
      <c r="E17" s="9"/>
      <c r="F17" s="8"/>
      <c r="H17" s="9"/>
      <c r="I17" s="9"/>
      <c r="J17" s="9"/>
    </row>
    <row r="18" spans="2:10">
      <c r="B18" s="8"/>
      <c r="C18" s="9"/>
      <c r="D18" s="9"/>
      <c r="E18" s="9"/>
      <c r="F18" s="8"/>
      <c r="H18" s="9"/>
      <c r="I18" s="9"/>
      <c r="J18" s="9"/>
    </row>
    <row r="19" spans="2:10">
      <c r="B19" s="8"/>
      <c r="C19" s="9"/>
      <c r="D19" s="9"/>
      <c r="E19" s="9"/>
      <c r="F19" s="8"/>
      <c r="H19" s="9"/>
      <c r="I19" s="9"/>
      <c r="J19" s="9"/>
    </row>
    <row r="20" spans="2:10">
      <c r="B20" s="8"/>
      <c r="C20" s="9"/>
      <c r="D20" s="9"/>
      <c r="E20" s="9"/>
      <c r="F20" s="8"/>
      <c r="H20" s="9"/>
      <c r="I20" s="9"/>
      <c r="J20" s="9"/>
    </row>
    <row r="21" spans="2:10">
      <c r="B21" s="8"/>
      <c r="C21" s="9"/>
      <c r="D21" s="9"/>
      <c r="E21" s="9"/>
      <c r="F21" s="8"/>
      <c r="H21" s="9"/>
      <c r="I21" s="9"/>
      <c r="J21" s="9"/>
    </row>
    <row r="22" spans="2:10">
      <c r="B22" s="8"/>
      <c r="C22" s="9"/>
      <c r="D22" s="9"/>
      <c r="E22" s="9"/>
      <c r="F22" s="8"/>
      <c r="H22" s="9"/>
      <c r="I22" s="9"/>
      <c r="J22" s="9"/>
    </row>
    <row r="23" spans="2:10">
      <c r="B23" s="8"/>
      <c r="C23" s="9"/>
      <c r="D23" s="9"/>
      <c r="E23" s="9"/>
      <c r="F23" s="8"/>
      <c r="H23" s="9"/>
      <c r="I23" s="9"/>
      <c r="J23" s="9"/>
    </row>
    <row r="24" spans="2:10">
      <c r="B24" s="8"/>
      <c r="C24" s="9"/>
      <c r="D24" s="9"/>
      <c r="E24" s="9"/>
      <c r="F24" s="8"/>
      <c r="H24" s="9"/>
      <c r="I24" s="9"/>
      <c r="J24" s="9"/>
    </row>
    <row r="25" spans="2:10">
      <c r="B25" s="8"/>
      <c r="C25" s="9"/>
      <c r="D25" s="9"/>
      <c r="E25" s="9"/>
      <c r="F25" s="8"/>
      <c r="H25" s="9"/>
      <c r="I25" s="9"/>
      <c r="J25" s="9"/>
    </row>
    <row r="26" spans="2:10">
      <c r="B26" s="8"/>
      <c r="C26" s="9"/>
      <c r="D26" s="9"/>
      <c r="E26" s="9"/>
      <c r="F26" s="8"/>
      <c r="H26" s="9"/>
      <c r="I26" s="9"/>
      <c r="J26" s="9"/>
    </row>
    <row r="27" spans="2:10" ht="10.5" customHeight="1">
      <c r="B27" s="8"/>
      <c r="C27" s="9"/>
      <c r="D27" s="9"/>
      <c r="E27" s="9"/>
      <c r="F27" s="8"/>
      <c r="H27" s="9"/>
      <c r="I27" s="9"/>
      <c r="J27" s="9"/>
    </row>
    <row r="28" spans="2:10" ht="10.5" customHeight="1">
      <c r="B28" s="8"/>
      <c r="C28" s="9"/>
      <c r="D28" s="9"/>
      <c r="E28" s="9"/>
      <c r="F28" s="8"/>
      <c r="H28" s="9"/>
      <c r="I28" s="9"/>
      <c r="J28" s="9"/>
    </row>
    <row r="29" spans="2:10" ht="10.5" customHeight="1">
      <c r="B29" s="8"/>
      <c r="C29" s="9"/>
      <c r="D29" s="9"/>
      <c r="E29" s="9"/>
      <c r="F29" s="8"/>
      <c r="H29" s="9"/>
      <c r="I29" s="9"/>
      <c r="J29" s="9"/>
    </row>
    <row r="30" spans="2:10" ht="10.5" customHeight="1">
      <c r="B30" s="8"/>
      <c r="C30" s="9"/>
      <c r="D30" s="9"/>
      <c r="E30" s="9"/>
      <c r="F30" s="8"/>
      <c r="H30" s="9"/>
      <c r="I30" s="9"/>
      <c r="J30" s="9"/>
    </row>
    <row r="31" spans="2:10" ht="10.5" customHeight="1">
      <c r="B31" s="8"/>
      <c r="C31" s="9"/>
      <c r="D31" s="9"/>
      <c r="E31" s="9"/>
      <c r="F31" s="8"/>
      <c r="H31" s="9"/>
      <c r="I31" s="9"/>
      <c r="J31" s="9"/>
    </row>
    <row r="32" spans="2:10" ht="10.5" customHeight="1">
      <c r="B32" s="8"/>
      <c r="C32" s="9"/>
      <c r="D32" s="9"/>
      <c r="E32" s="9"/>
      <c r="F32" s="8"/>
      <c r="H32" s="9"/>
      <c r="I32" s="9"/>
      <c r="J32" s="9"/>
    </row>
    <row r="33" spans="2:10" ht="10.5" customHeight="1">
      <c r="B33" s="8"/>
      <c r="C33" s="9"/>
      <c r="D33" s="9"/>
      <c r="E33" s="9"/>
      <c r="F33" s="8"/>
      <c r="H33" s="9"/>
      <c r="I33" s="9"/>
      <c r="J33" s="9"/>
    </row>
    <row r="34" spans="2:10" ht="10.5" customHeight="1">
      <c r="B34" s="8"/>
      <c r="C34" s="9"/>
      <c r="D34" s="9"/>
      <c r="E34" s="9"/>
      <c r="F34" s="8"/>
      <c r="H34" s="9"/>
      <c r="I34" s="9"/>
      <c r="J34" s="9"/>
    </row>
    <row r="35" spans="2:10" ht="10.5" customHeight="1">
      <c r="B35" s="8"/>
      <c r="C35" s="9"/>
      <c r="D35" s="9"/>
      <c r="E35" s="9"/>
      <c r="F35" s="8"/>
      <c r="H35" s="9"/>
      <c r="I35" s="9"/>
      <c r="J35" s="9"/>
    </row>
    <row r="36" spans="2:10" ht="10.5" customHeight="1">
      <c r="B36" s="8"/>
      <c r="C36" s="9"/>
      <c r="D36" s="9"/>
      <c r="E36" s="9"/>
      <c r="F36" s="8"/>
      <c r="H36" s="9"/>
      <c r="I36" s="9"/>
      <c r="J36" s="9"/>
    </row>
    <row r="37" spans="2:10" ht="10.5" customHeight="1">
      <c r="B37" s="8"/>
      <c r="C37" s="9"/>
      <c r="D37" s="9"/>
      <c r="E37" s="9"/>
      <c r="F37" s="8"/>
      <c r="H37" s="9"/>
      <c r="I37" s="9"/>
      <c r="J37" s="9"/>
    </row>
    <row r="38" spans="2:10" ht="10.5" customHeight="1">
      <c r="B38" s="8"/>
      <c r="C38" s="9"/>
      <c r="D38" s="9"/>
      <c r="E38" s="9"/>
      <c r="F38" s="8"/>
      <c r="H38" s="9"/>
      <c r="I38" s="9"/>
      <c r="J38" s="9"/>
    </row>
    <row r="39" spans="2:10" ht="10.5" customHeight="1">
      <c r="B39" s="8"/>
      <c r="C39" s="9"/>
      <c r="D39" s="9"/>
      <c r="E39" s="9"/>
      <c r="F39" s="8"/>
      <c r="H39" s="9"/>
      <c r="I39" s="9"/>
      <c r="J39" s="9"/>
    </row>
    <row r="40" spans="2:10" ht="10.5" customHeight="1">
      <c r="B40" s="8"/>
      <c r="C40" s="9"/>
      <c r="D40" s="9"/>
      <c r="E40" s="9"/>
      <c r="F40" s="8"/>
      <c r="H40" s="9"/>
      <c r="I40" s="9"/>
      <c r="J40" s="9"/>
    </row>
    <row r="41" spans="2:10" ht="10.5" customHeight="1">
      <c r="B41" s="8"/>
      <c r="C41" s="9"/>
      <c r="D41" s="9"/>
      <c r="E41" s="9"/>
      <c r="F41" s="8"/>
      <c r="H41" s="9"/>
      <c r="I41" s="9"/>
      <c r="J41" s="9"/>
    </row>
    <row r="42" spans="2:10" ht="10.5" customHeight="1">
      <c r="B42" s="8"/>
      <c r="C42" s="9"/>
      <c r="D42" s="9"/>
      <c r="E42" s="9"/>
      <c r="F42" s="8"/>
      <c r="H42" s="9"/>
      <c r="I42" s="9"/>
      <c r="J42" s="9"/>
    </row>
    <row r="43" spans="2:10" ht="10.5" customHeight="1">
      <c r="B43" s="8"/>
      <c r="C43" s="9"/>
      <c r="D43" s="9"/>
      <c r="E43" s="9"/>
      <c r="F43" s="8"/>
      <c r="H43" s="9"/>
      <c r="I43" s="9"/>
      <c r="J43" s="9"/>
    </row>
    <row r="44" spans="2:10" ht="10.5" customHeight="1">
      <c r="B44" s="8"/>
      <c r="C44" s="9"/>
      <c r="D44" s="9"/>
      <c r="E44" s="9"/>
      <c r="F44" s="8"/>
      <c r="H44" s="9"/>
      <c r="I44" s="9"/>
      <c r="J44" s="9"/>
    </row>
    <row r="45" spans="2:10" ht="10.5" customHeight="1">
      <c r="B45" s="8"/>
      <c r="C45" s="9"/>
      <c r="D45" s="9"/>
      <c r="E45" s="9"/>
      <c r="F45" s="8"/>
      <c r="H45" s="9"/>
      <c r="I45" s="9"/>
      <c r="J45" s="9"/>
    </row>
    <row r="46" spans="2:10" ht="10.5" customHeight="1">
      <c r="B46" s="8"/>
      <c r="C46" s="9"/>
      <c r="D46" s="9"/>
      <c r="E46" s="9"/>
      <c r="F46" s="8"/>
      <c r="H46" s="9"/>
      <c r="I46" s="9"/>
      <c r="J46" s="9"/>
    </row>
    <row r="47" spans="2:10" ht="10.5" customHeight="1">
      <c r="B47" s="8"/>
      <c r="C47" s="9"/>
      <c r="D47" s="9"/>
      <c r="E47" s="9"/>
      <c r="F47" s="8"/>
      <c r="H47" s="9"/>
      <c r="I47" s="9"/>
      <c r="J47" s="9"/>
    </row>
    <row r="48" spans="2:10" ht="10.5" customHeight="1">
      <c r="B48" s="8"/>
      <c r="C48" s="9"/>
      <c r="D48" s="9"/>
      <c r="E48" s="9"/>
      <c r="F48" s="8"/>
      <c r="H48" s="9"/>
      <c r="I48" s="9"/>
      <c r="J48" s="9"/>
    </row>
    <row r="49" spans="2:10" ht="10.5" customHeight="1">
      <c r="B49" s="8"/>
      <c r="C49" s="9"/>
      <c r="D49" s="9"/>
      <c r="E49" s="9"/>
      <c r="F49" s="8"/>
      <c r="H49" s="9"/>
      <c r="I49" s="9"/>
      <c r="J49" s="9"/>
    </row>
    <row r="50" spans="2:10" ht="10.5" customHeight="1">
      <c r="B50" s="8"/>
      <c r="C50" s="9"/>
      <c r="D50" s="9"/>
      <c r="E50" s="9"/>
      <c r="F50" s="8"/>
      <c r="H50" s="9"/>
      <c r="I50" s="9"/>
      <c r="J50" s="9"/>
    </row>
    <row r="51" spans="2:10" ht="10.5" customHeight="1">
      <c r="B51" s="8"/>
      <c r="C51" s="9"/>
      <c r="D51" s="9"/>
      <c r="E51" s="9"/>
      <c r="F51" s="8"/>
      <c r="H51" s="9"/>
      <c r="I51" s="9"/>
      <c r="J51" s="9"/>
    </row>
    <row r="52" spans="2:10" ht="10.5" customHeight="1">
      <c r="B52" s="8"/>
      <c r="C52" s="9"/>
      <c r="D52" s="9"/>
      <c r="E52" s="9"/>
      <c r="F52" s="8"/>
      <c r="H52" s="9"/>
      <c r="I52" s="9"/>
      <c r="J52" s="9"/>
    </row>
    <row r="53" spans="2:10" ht="10.5" customHeight="1">
      <c r="B53" s="8"/>
      <c r="C53" s="9"/>
      <c r="D53" s="9"/>
      <c r="E53" s="9"/>
      <c r="F53" s="8"/>
      <c r="H53" s="9"/>
      <c r="I53" s="9"/>
      <c r="J53" s="9"/>
    </row>
    <row r="54" spans="2:10" ht="10.5" customHeight="1">
      <c r="B54" s="8"/>
      <c r="C54" s="9"/>
      <c r="D54" s="9"/>
      <c r="E54" s="9"/>
      <c r="F54" s="8"/>
      <c r="H54" s="9"/>
      <c r="I54" s="9"/>
      <c r="J54" s="9"/>
    </row>
    <row r="55" spans="2:10" ht="10.5" customHeight="1">
      <c r="B55" s="8"/>
      <c r="C55" s="9"/>
      <c r="D55" s="9"/>
      <c r="E55" s="9"/>
      <c r="F55" s="8"/>
      <c r="H55" s="9"/>
      <c r="I55" s="9"/>
      <c r="J55" s="9"/>
    </row>
    <row r="56" spans="2:10" ht="10.5" customHeight="1">
      <c r="B56" s="8"/>
      <c r="C56" s="9"/>
      <c r="D56" s="9"/>
      <c r="E56" s="9"/>
      <c r="F56" s="8"/>
      <c r="H56" s="9"/>
      <c r="I56" s="9"/>
      <c r="J56" s="9"/>
    </row>
    <row r="57" spans="2:10" ht="10.5" customHeight="1">
      <c r="B57" s="8"/>
      <c r="C57" s="9"/>
      <c r="D57" s="9"/>
      <c r="E57" s="9"/>
      <c r="F57" s="8"/>
      <c r="H57" s="9"/>
      <c r="I57" s="9"/>
      <c r="J57" s="9"/>
    </row>
    <row r="58" spans="2:10" ht="10.5" customHeight="1">
      <c r="B58" s="8"/>
      <c r="C58" s="9"/>
      <c r="D58" s="9"/>
      <c r="E58" s="9"/>
      <c r="F58" s="8"/>
      <c r="H58" s="9"/>
      <c r="I58" s="9"/>
      <c r="J58" s="9"/>
    </row>
    <row r="59" spans="2:10" ht="10.5" customHeight="1">
      <c r="B59" s="8"/>
      <c r="C59" s="9"/>
      <c r="D59" s="9"/>
      <c r="E59" s="9"/>
      <c r="F59" s="8"/>
      <c r="H59" s="9"/>
      <c r="I59" s="9"/>
      <c r="J59" s="9"/>
    </row>
    <row r="60" spans="2:10" ht="10.5" customHeight="1">
      <c r="B60" s="8"/>
      <c r="C60" s="9"/>
      <c r="D60" s="9"/>
      <c r="E60" s="9"/>
      <c r="F60" s="8"/>
      <c r="H60" s="9"/>
      <c r="I60" s="9"/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B63" s="8"/>
      <c r="C63" s="9"/>
      <c r="D63" s="9"/>
      <c r="E63" s="9"/>
      <c r="F63" s="8"/>
      <c r="H63" s="9"/>
      <c r="I63" s="9"/>
      <c r="J63" s="9"/>
    </row>
    <row r="64" spans="2:10" ht="10.5" customHeight="1">
      <c r="B64" s="8"/>
      <c r="C64" s="9"/>
      <c r="D64" s="9"/>
      <c r="E64" s="9"/>
      <c r="F64" s="8"/>
      <c r="H64" s="9"/>
      <c r="I64" s="9"/>
      <c r="J64" s="9"/>
    </row>
    <row r="65" spans="2:10" ht="10.5" customHeight="1">
      <c r="B65" s="8"/>
      <c r="C65" s="9"/>
      <c r="D65" s="9"/>
      <c r="E65" s="9"/>
      <c r="F65" s="8"/>
      <c r="H65" s="9"/>
      <c r="I65" s="9"/>
      <c r="J65" s="9"/>
    </row>
    <row r="66" spans="2:10" ht="10.5" customHeight="1">
      <c r="B66" s="8"/>
      <c r="C66" s="9"/>
      <c r="D66" s="9"/>
      <c r="E66" s="9"/>
      <c r="F66" s="8"/>
      <c r="H66" s="9"/>
      <c r="I66" s="9"/>
      <c r="J66" s="9"/>
    </row>
    <row r="67" spans="2:10" ht="10.5" customHeight="1">
      <c r="B67" s="8"/>
      <c r="C67" s="9"/>
      <c r="D67" s="9"/>
      <c r="E67" s="9"/>
      <c r="F67" s="8"/>
      <c r="H67" s="9"/>
      <c r="I67" s="9"/>
      <c r="J67" s="9"/>
    </row>
    <row r="68" spans="2:10" ht="10.5" customHeight="1">
      <c r="B68" s="8"/>
      <c r="C68" s="9"/>
      <c r="D68" s="9"/>
      <c r="E68" s="9"/>
      <c r="F68" s="8"/>
      <c r="H68" s="9"/>
      <c r="I68" s="9"/>
      <c r="J68" s="9"/>
    </row>
    <row r="69" spans="2:10" ht="10.5" customHeight="1">
      <c r="J69" s="9"/>
    </row>
    <row r="70" spans="2:10" ht="10.5" customHeight="1">
      <c r="J70" s="9"/>
    </row>
    <row r="71" spans="2:10" ht="10.5" customHeight="1">
      <c r="J71" s="9"/>
    </row>
    <row r="72" spans="2:10" ht="10.5" customHeight="1">
      <c r="J72" s="9"/>
    </row>
    <row r="73" spans="2:10" ht="10.5" customHeight="1">
      <c r="J73" s="9"/>
    </row>
    <row r="74" spans="2:10" ht="10.5" customHeight="1">
      <c r="J74" s="9"/>
    </row>
    <row r="75" spans="2:10" ht="10.5" customHeight="1">
      <c r="J75" s="9"/>
    </row>
    <row r="76" spans="2:10" ht="10.5" customHeight="1">
      <c r="J76" s="9"/>
    </row>
    <row r="77" spans="2:10" ht="10.5" customHeight="1">
      <c r="J77" s="9"/>
    </row>
    <row r="78" spans="2:10" ht="10.5" customHeight="1">
      <c r="J78" s="9"/>
    </row>
    <row r="79" spans="2:10" ht="10.5" customHeight="1">
      <c r="J7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12B8-D186-C142-B111-A67FF4906F3B}">
  <dimension ref="A2:J79"/>
  <sheetViews>
    <sheetView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F12" sqref="F12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10" si="0">C5&amp;"|"&amp;E5</f>
        <v>LOCALPUSH_TYPE|0</v>
      </c>
      <c r="C5" s="9" t="s">
        <v>111</v>
      </c>
      <c r="D5" s="9" t="s">
        <v>112</v>
      </c>
      <c r="E5" s="9">
        <v>0</v>
      </c>
      <c r="F5" s="8" t="str">
        <f t="shared" ref="F5:F10" si="1">IF(H5="", "", H5&amp;IF(I5="", "", " | "&amp;I5)&amp;IF(J78="", "", " | "&amp;J78))</f>
        <v>푸시 타입 | 출석부 다음날</v>
      </c>
      <c r="H5" s="9" t="s">
        <v>113</v>
      </c>
      <c r="I5" s="9" t="s">
        <v>114</v>
      </c>
      <c r="J5" s="9"/>
    </row>
    <row r="6" spans="1:10">
      <c r="B6" s="8" t="str">
        <f t="shared" si="0"/>
        <v>LOCALPUSH_TYPE|1</v>
      </c>
      <c r="C6" s="9" t="s">
        <v>111</v>
      </c>
      <c r="D6" s="9" t="s">
        <v>115</v>
      </c>
      <c r="E6" s="9">
        <v>1</v>
      </c>
      <c r="F6" s="8" t="str">
        <f t="shared" si="1"/>
        <v>푸시 타입 | 하트 맥스</v>
      </c>
      <c r="H6" s="9" t="s">
        <v>113</v>
      </c>
      <c r="I6" s="9" t="s">
        <v>116</v>
      </c>
      <c r="J6" s="9"/>
    </row>
    <row r="7" spans="1:10">
      <c r="B7" s="8" t="str">
        <f t="shared" si="0"/>
        <v>LOCALPUSH_TYPE|2</v>
      </c>
      <c r="C7" s="9" t="s">
        <v>111</v>
      </c>
      <c r="D7" s="9" t="s">
        <v>501</v>
      </c>
      <c r="E7" s="9">
        <v>2</v>
      </c>
      <c r="F7" s="8" t="str">
        <f t="shared" si="1"/>
        <v>푸시 타입 | 데일리 푸시2</v>
      </c>
      <c r="H7" s="9" t="s">
        <v>113</v>
      </c>
      <c r="I7" s="9" t="s">
        <v>505</v>
      </c>
      <c r="J7" s="9"/>
    </row>
    <row r="8" spans="1:10">
      <c r="B8" s="8" t="str">
        <f t="shared" si="0"/>
        <v>LOCALPUSH_TYPE|3</v>
      </c>
      <c r="C8" s="9" t="s">
        <v>111</v>
      </c>
      <c r="D8" s="9" t="s">
        <v>502</v>
      </c>
      <c r="E8" s="9">
        <v>3</v>
      </c>
      <c r="F8" s="8" t="str">
        <f t="shared" si="1"/>
        <v>푸시 타입 | 픽원 종료 알림</v>
      </c>
      <c r="H8" s="9" t="s">
        <v>113</v>
      </c>
      <c r="I8" s="9" t="s">
        <v>506</v>
      </c>
      <c r="J8" s="9"/>
    </row>
    <row r="9" spans="1:10">
      <c r="B9" s="8" t="str">
        <f t="shared" si="0"/>
        <v>LOCALPUSH_TYPE|4</v>
      </c>
      <c r="C9" s="9" t="s">
        <v>111</v>
      </c>
      <c r="D9" s="9" t="s">
        <v>503</v>
      </c>
      <c r="E9" s="9">
        <v>4</v>
      </c>
      <c r="F9" s="8" t="str">
        <f t="shared" si="1"/>
        <v>푸시 타입 | 엔드리스(세로형) 종료 알림</v>
      </c>
      <c r="H9" s="9" t="s">
        <v>113</v>
      </c>
      <c r="I9" s="9" t="s">
        <v>507</v>
      </c>
      <c r="J9" s="9"/>
    </row>
    <row r="10" spans="1:10">
      <c r="B10" s="8" t="str">
        <f t="shared" si="0"/>
        <v>LOCALPUSH_TYPE|5</v>
      </c>
      <c r="C10" s="9" t="s">
        <v>111</v>
      </c>
      <c r="D10" s="9" t="s">
        <v>504</v>
      </c>
      <c r="E10" s="9">
        <v>5</v>
      </c>
      <c r="F10" s="8" t="str">
        <f t="shared" si="1"/>
        <v>푸시 타입 | 엔드리스(체인형) 종료 알림</v>
      </c>
      <c r="H10" s="9" t="s">
        <v>113</v>
      </c>
      <c r="I10" s="9" t="s">
        <v>508</v>
      </c>
      <c r="J10" s="9"/>
    </row>
    <row r="11" spans="1:10">
      <c r="B11" s="8"/>
      <c r="C11" s="9"/>
      <c r="D11" s="9"/>
      <c r="E11" s="9"/>
      <c r="F11" s="8"/>
      <c r="H11" s="9"/>
      <c r="I11" s="9"/>
      <c r="J11" s="9"/>
    </row>
    <row r="12" spans="1:10">
      <c r="B12" s="8"/>
      <c r="C12" s="9"/>
      <c r="D12" s="9"/>
      <c r="E12" s="9"/>
      <c r="F12" s="8"/>
      <c r="H12" s="9"/>
      <c r="I12" s="9"/>
      <c r="J12" s="9"/>
    </row>
    <row r="13" spans="1:10">
      <c r="B13" s="8"/>
      <c r="C13" s="9"/>
      <c r="D13" s="9"/>
      <c r="E13" s="9"/>
      <c r="F13" s="8"/>
      <c r="H13" s="9"/>
      <c r="I13" s="9"/>
      <c r="J13" s="9"/>
    </row>
    <row r="14" spans="1:10">
      <c r="B14" s="8"/>
      <c r="C14" s="9"/>
      <c r="D14" s="9"/>
      <c r="E14" s="9"/>
      <c r="F14" s="8"/>
      <c r="H14" s="9"/>
      <c r="I14" s="9"/>
      <c r="J14" s="9"/>
    </row>
    <row r="15" spans="1:10">
      <c r="B15" s="8"/>
      <c r="C15" s="9"/>
      <c r="D15" s="9"/>
      <c r="E15" s="9"/>
      <c r="F15" s="8"/>
      <c r="H15" s="9"/>
      <c r="I15" s="9"/>
      <c r="J15" s="9"/>
    </row>
    <row r="16" spans="1:10">
      <c r="B16" s="8"/>
      <c r="C16" s="9"/>
      <c r="D16" s="9"/>
      <c r="E16" s="9"/>
      <c r="F16" s="8"/>
      <c r="H16" s="9"/>
      <c r="I16" s="9"/>
      <c r="J16" s="9"/>
    </row>
    <row r="17" spans="2:10">
      <c r="B17" s="8"/>
      <c r="C17" s="9"/>
      <c r="D17" s="9"/>
      <c r="E17" s="9"/>
      <c r="F17" s="8"/>
      <c r="H17" s="9"/>
      <c r="I17" s="9"/>
      <c r="J17" s="9"/>
    </row>
    <row r="18" spans="2:10">
      <c r="B18" s="8"/>
      <c r="C18" s="9"/>
      <c r="D18" s="9"/>
      <c r="E18" s="9"/>
      <c r="F18" s="8"/>
      <c r="H18" s="9"/>
      <c r="I18" s="9"/>
      <c r="J18" s="9"/>
    </row>
    <row r="19" spans="2:10">
      <c r="B19" s="8"/>
      <c r="C19" s="9"/>
      <c r="D19" s="9"/>
      <c r="E19" s="9"/>
      <c r="F19" s="8"/>
      <c r="H19" s="9"/>
      <c r="I19" s="9"/>
      <c r="J19" s="9"/>
    </row>
    <row r="20" spans="2:10">
      <c r="B20" s="8"/>
      <c r="C20" s="9"/>
      <c r="D20" s="9"/>
      <c r="E20" s="9"/>
      <c r="F20" s="8"/>
      <c r="H20" s="9"/>
      <c r="I20" s="9"/>
      <c r="J20" s="9"/>
    </row>
    <row r="21" spans="2:10">
      <c r="B21" s="8"/>
      <c r="C21" s="9"/>
      <c r="D21" s="9"/>
      <c r="E21" s="9"/>
      <c r="F21" s="8"/>
      <c r="H21" s="9"/>
      <c r="I21" s="9"/>
      <c r="J21" s="9"/>
    </row>
    <row r="22" spans="2:10">
      <c r="B22" s="8"/>
      <c r="C22" s="9"/>
      <c r="D22" s="9"/>
      <c r="E22" s="9"/>
      <c r="F22" s="8"/>
      <c r="H22" s="9"/>
      <c r="I22" s="9"/>
      <c r="J22" s="9"/>
    </row>
    <row r="23" spans="2:10">
      <c r="B23" s="8"/>
      <c r="C23" s="9"/>
      <c r="D23" s="9"/>
      <c r="E23" s="9"/>
      <c r="F23" s="8"/>
      <c r="H23" s="9"/>
      <c r="I23" s="9"/>
      <c r="J23" s="9"/>
    </row>
    <row r="24" spans="2:10">
      <c r="B24" s="8"/>
      <c r="C24" s="9"/>
      <c r="D24" s="9"/>
      <c r="E24" s="9"/>
      <c r="F24" s="8"/>
      <c r="H24" s="9"/>
      <c r="I24" s="9"/>
      <c r="J24" s="9"/>
    </row>
    <row r="25" spans="2:10">
      <c r="B25" s="8"/>
      <c r="C25" s="9"/>
      <c r="D25" s="9"/>
      <c r="E25" s="9"/>
      <c r="F25" s="8"/>
      <c r="H25" s="9"/>
      <c r="I25" s="9"/>
      <c r="J25" s="9"/>
    </row>
    <row r="26" spans="2:10">
      <c r="B26" s="8"/>
      <c r="C26" s="9"/>
      <c r="D26" s="9"/>
      <c r="E26" s="9"/>
      <c r="F26" s="8"/>
      <c r="H26" s="9"/>
      <c r="I26" s="9"/>
      <c r="J26" s="9"/>
    </row>
    <row r="27" spans="2:10" ht="10.5" customHeight="1">
      <c r="B27" s="8"/>
      <c r="C27" s="9"/>
      <c r="D27" s="9"/>
      <c r="E27" s="9"/>
      <c r="F27" s="8"/>
      <c r="H27" s="9"/>
      <c r="I27" s="9"/>
      <c r="J27" s="9"/>
    </row>
    <row r="28" spans="2:10" ht="10.5" customHeight="1">
      <c r="B28" s="8"/>
      <c r="C28" s="9"/>
      <c r="D28" s="9"/>
      <c r="E28" s="9"/>
      <c r="F28" s="8"/>
      <c r="H28" s="9"/>
      <c r="I28" s="9"/>
      <c r="J28" s="9"/>
    </row>
    <row r="29" spans="2:10" ht="10.5" customHeight="1">
      <c r="B29" s="8"/>
      <c r="C29" s="9"/>
      <c r="D29" s="9"/>
      <c r="E29" s="9"/>
      <c r="F29" s="8"/>
      <c r="H29" s="9"/>
      <c r="I29" s="9"/>
      <c r="J29" s="9"/>
    </row>
    <row r="30" spans="2:10" ht="10.5" customHeight="1">
      <c r="B30" s="8"/>
      <c r="C30" s="9"/>
      <c r="D30" s="9"/>
      <c r="E30" s="9"/>
      <c r="F30" s="8"/>
      <c r="H30" s="9"/>
      <c r="I30" s="9"/>
      <c r="J30" s="9"/>
    </row>
    <row r="31" spans="2:10" ht="10.5" customHeight="1">
      <c r="B31" s="8"/>
      <c r="C31" s="9"/>
      <c r="D31" s="9"/>
      <c r="E31" s="9"/>
      <c r="F31" s="8"/>
      <c r="H31" s="9"/>
      <c r="I31" s="9"/>
      <c r="J31" s="9"/>
    </row>
    <row r="32" spans="2:10" ht="10.5" customHeight="1">
      <c r="B32" s="8"/>
      <c r="C32" s="9"/>
      <c r="D32" s="9"/>
      <c r="E32" s="9"/>
      <c r="F32" s="8"/>
      <c r="H32" s="9"/>
      <c r="I32" s="9"/>
      <c r="J32" s="9"/>
    </row>
    <row r="33" spans="2:10" ht="10.5" customHeight="1">
      <c r="B33" s="8"/>
      <c r="C33" s="9"/>
      <c r="D33" s="9"/>
      <c r="E33" s="9"/>
      <c r="F33" s="8"/>
      <c r="H33" s="9"/>
      <c r="I33" s="9"/>
      <c r="J33" s="9"/>
    </row>
    <row r="34" spans="2:10" ht="10.5" customHeight="1">
      <c r="B34" s="8"/>
      <c r="C34" s="9"/>
      <c r="D34" s="9"/>
      <c r="E34" s="9"/>
      <c r="F34" s="8"/>
      <c r="H34" s="9"/>
      <c r="I34" s="9"/>
      <c r="J34" s="9"/>
    </row>
    <row r="35" spans="2:10" ht="10.5" customHeight="1">
      <c r="B35" s="8"/>
      <c r="C35" s="9"/>
      <c r="D35" s="9"/>
      <c r="E35" s="9"/>
      <c r="F35" s="8"/>
      <c r="H35" s="9"/>
      <c r="I35" s="9"/>
      <c r="J35" s="9"/>
    </row>
    <row r="36" spans="2:10" ht="10.5" customHeight="1">
      <c r="B36" s="8"/>
      <c r="C36" s="9"/>
      <c r="D36" s="9"/>
      <c r="E36" s="9"/>
      <c r="F36" s="8"/>
      <c r="H36" s="9"/>
      <c r="I36" s="9"/>
      <c r="J36" s="9"/>
    </row>
    <row r="37" spans="2:10" ht="10.5" customHeight="1">
      <c r="B37" s="8"/>
      <c r="C37" s="9"/>
      <c r="D37" s="9"/>
      <c r="E37" s="9"/>
      <c r="F37" s="8"/>
      <c r="H37" s="9"/>
      <c r="I37" s="9"/>
      <c r="J37" s="9"/>
    </row>
    <row r="38" spans="2:10" ht="10.5" customHeight="1">
      <c r="B38" s="8"/>
      <c r="C38" s="9"/>
      <c r="D38" s="9"/>
      <c r="E38" s="9"/>
      <c r="F38" s="8"/>
      <c r="H38" s="9"/>
      <c r="I38" s="9"/>
      <c r="J38" s="9"/>
    </row>
    <row r="39" spans="2:10" ht="10.5" customHeight="1">
      <c r="B39" s="8"/>
      <c r="C39" s="9"/>
      <c r="D39" s="9"/>
      <c r="E39" s="9"/>
      <c r="F39" s="8"/>
      <c r="H39" s="9"/>
      <c r="I39" s="9"/>
      <c r="J39" s="9"/>
    </row>
    <row r="40" spans="2:10" ht="10.5" customHeight="1">
      <c r="B40" s="8"/>
      <c r="C40" s="9"/>
      <c r="D40" s="9"/>
      <c r="E40" s="9"/>
      <c r="F40" s="8"/>
      <c r="H40" s="9"/>
      <c r="I40" s="9"/>
      <c r="J40" s="9"/>
    </row>
    <row r="41" spans="2:10" ht="10.5" customHeight="1">
      <c r="B41" s="8"/>
      <c r="C41" s="9"/>
      <c r="D41" s="9"/>
      <c r="E41" s="9"/>
      <c r="F41" s="8"/>
      <c r="H41" s="9"/>
      <c r="I41" s="9"/>
      <c r="J41" s="9"/>
    </row>
    <row r="42" spans="2:10" ht="10.5" customHeight="1">
      <c r="B42" s="8"/>
      <c r="C42" s="9"/>
      <c r="D42" s="9"/>
      <c r="E42" s="9"/>
      <c r="F42" s="8"/>
      <c r="H42" s="9"/>
      <c r="I42" s="9"/>
      <c r="J42" s="9"/>
    </row>
    <row r="43" spans="2:10" ht="10.5" customHeight="1">
      <c r="B43" s="8"/>
      <c r="C43" s="9"/>
      <c r="D43" s="9"/>
      <c r="E43" s="9"/>
      <c r="F43" s="8"/>
      <c r="H43" s="9"/>
      <c r="I43" s="9"/>
      <c r="J43" s="9"/>
    </row>
    <row r="44" spans="2:10" ht="10.5" customHeight="1">
      <c r="B44" s="8"/>
      <c r="C44" s="9"/>
      <c r="D44" s="9"/>
      <c r="E44" s="9"/>
      <c r="F44" s="8"/>
      <c r="H44" s="9"/>
      <c r="I44" s="9"/>
      <c r="J44" s="9"/>
    </row>
    <row r="45" spans="2:10" ht="10.5" customHeight="1">
      <c r="B45" s="8"/>
      <c r="C45" s="9"/>
      <c r="D45" s="9"/>
      <c r="E45" s="9"/>
      <c r="F45" s="8"/>
      <c r="H45" s="9"/>
      <c r="I45" s="9"/>
      <c r="J45" s="9"/>
    </row>
    <row r="46" spans="2:10" ht="10.5" customHeight="1">
      <c r="B46" s="8"/>
      <c r="C46" s="9"/>
      <c r="D46" s="9"/>
      <c r="E46" s="9"/>
      <c r="F46" s="8"/>
      <c r="H46" s="9"/>
      <c r="I46" s="9"/>
      <c r="J46" s="9"/>
    </row>
    <row r="47" spans="2:10" ht="10.5" customHeight="1">
      <c r="B47" s="8"/>
      <c r="C47" s="9"/>
      <c r="D47" s="9"/>
      <c r="E47" s="9"/>
      <c r="F47" s="8"/>
      <c r="H47" s="9"/>
      <c r="I47" s="9"/>
      <c r="J47" s="9"/>
    </row>
    <row r="48" spans="2:10" ht="10.5" customHeight="1">
      <c r="B48" s="8"/>
      <c r="C48" s="9"/>
      <c r="D48" s="9"/>
      <c r="E48" s="9"/>
      <c r="F48" s="8"/>
      <c r="H48" s="9"/>
      <c r="I48" s="9"/>
      <c r="J48" s="9"/>
    </row>
    <row r="49" spans="2:10" ht="10.5" customHeight="1">
      <c r="B49" s="8"/>
      <c r="C49" s="9"/>
      <c r="D49" s="9"/>
      <c r="E49" s="9"/>
      <c r="F49" s="8"/>
      <c r="H49" s="9"/>
      <c r="I49" s="9"/>
      <c r="J49" s="9"/>
    </row>
    <row r="50" spans="2:10" ht="10.5" customHeight="1">
      <c r="B50" s="8"/>
      <c r="C50" s="9"/>
      <c r="D50" s="9"/>
      <c r="E50" s="9"/>
      <c r="F50" s="8"/>
      <c r="H50" s="9"/>
      <c r="I50" s="9"/>
      <c r="J50" s="9"/>
    </row>
    <row r="51" spans="2:10" ht="10.5" customHeight="1">
      <c r="B51" s="8"/>
      <c r="C51" s="9"/>
      <c r="D51" s="9"/>
      <c r="E51" s="9"/>
      <c r="F51" s="8"/>
      <c r="H51" s="9"/>
      <c r="I51" s="9"/>
      <c r="J51" s="9"/>
    </row>
    <row r="52" spans="2:10" ht="10.5" customHeight="1">
      <c r="B52" s="8"/>
      <c r="C52" s="9"/>
      <c r="D52" s="9"/>
      <c r="E52" s="9"/>
      <c r="F52" s="8"/>
      <c r="H52" s="9"/>
      <c r="I52" s="9"/>
      <c r="J52" s="9"/>
    </row>
    <row r="53" spans="2:10" ht="10.5" customHeight="1">
      <c r="B53" s="8"/>
      <c r="C53" s="9"/>
      <c r="D53" s="9"/>
      <c r="E53" s="9"/>
      <c r="F53" s="8"/>
      <c r="H53" s="9"/>
      <c r="I53" s="9"/>
      <c r="J53" s="9"/>
    </row>
    <row r="54" spans="2:10" ht="10.5" customHeight="1">
      <c r="B54" s="8"/>
      <c r="C54" s="9"/>
      <c r="D54" s="9"/>
      <c r="E54" s="9"/>
      <c r="F54" s="8"/>
      <c r="H54" s="9"/>
      <c r="I54" s="9"/>
      <c r="J54" s="9"/>
    </row>
    <row r="55" spans="2:10" ht="10.5" customHeight="1">
      <c r="B55" s="8"/>
      <c r="C55" s="9"/>
      <c r="D55" s="9"/>
      <c r="E55" s="9"/>
      <c r="F55" s="8"/>
      <c r="H55" s="9"/>
      <c r="I55" s="9"/>
      <c r="J55" s="9"/>
    </row>
    <row r="56" spans="2:10" ht="10.5" customHeight="1">
      <c r="B56" s="8"/>
      <c r="C56" s="9"/>
      <c r="D56" s="9"/>
      <c r="E56" s="9"/>
      <c r="F56" s="8"/>
      <c r="H56" s="9"/>
      <c r="I56" s="9"/>
      <c r="J56" s="9"/>
    </row>
    <row r="57" spans="2:10" ht="10.5" customHeight="1">
      <c r="B57" s="8"/>
      <c r="C57" s="9"/>
      <c r="D57" s="9"/>
      <c r="E57" s="9"/>
      <c r="F57" s="8"/>
      <c r="H57" s="9"/>
      <c r="I57" s="9"/>
      <c r="J57" s="9"/>
    </row>
    <row r="58" spans="2:10" ht="10.5" customHeight="1">
      <c r="B58" s="8"/>
      <c r="C58" s="9"/>
      <c r="D58" s="9"/>
      <c r="E58" s="9"/>
      <c r="F58" s="8"/>
      <c r="H58" s="9"/>
      <c r="I58" s="9"/>
      <c r="J58" s="9"/>
    </row>
    <row r="59" spans="2:10" ht="10.5" customHeight="1">
      <c r="B59" s="8"/>
      <c r="C59" s="9"/>
      <c r="D59" s="9"/>
      <c r="E59" s="9"/>
      <c r="F59" s="8"/>
      <c r="H59" s="9"/>
      <c r="I59" s="9"/>
      <c r="J59" s="9"/>
    </row>
    <row r="60" spans="2:10" ht="10.5" customHeight="1">
      <c r="B60" s="8"/>
      <c r="C60" s="9"/>
      <c r="D60" s="9"/>
      <c r="E60" s="9"/>
      <c r="F60" s="8"/>
      <c r="H60" s="9"/>
      <c r="I60" s="9"/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B63" s="8"/>
      <c r="C63" s="9"/>
      <c r="D63" s="9"/>
      <c r="E63" s="9"/>
      <c r="F63" s="8"/>
      <c r="H63" s="9"/>
      <c r="I63" s="9"/>
      <c r="J63" s="9"/>
    </row>
    <row r="64" spans="2:10" ht="10.5" customHeight="1">
      <c r="B64" s="8"/>
      <c r="C64" s="9"/>
      <c r="D64" s="9"/>
      <c r="E64" s="9"/>
      <c r="F64" s="8"/>
      <c r="H64" s="9"/>
      <c r="I64" s="9"/>
      <c r="J64" s="9"/>
    </row>
    <row r="65" spans="2:10" ht="10.5" customHeight="1">
      <c r="B65" s="8"/>
      <c r="C65" s="9"/>
      <c r="D65" s="9"/>
      <c r="E65" s="9"/>
      <c r="F65" s="8"/>
      <c r="H65" s="9"/>
      <c r="I65" s="9"/>
      <c r="J65" s="9"/>
    </row>
    <row r="66" spans="2:10" ht="10.5" customHeight="1">
      <c r="B66" s="8"/>
      <c r="C66" s="9"/>
      <c r="D66" s="9"/>
      <c r="E66" s="9"/>
      <c r="F66" s="8"/>
      <c r="H66" s="9"/>
      <c r="I66" s="9"/>
      <c r="J66" s="9"/>
    </row>
    <row r="67" spans="2:10" ht="10.5" customHeight="1">
      <c r="J67" s="9"/>
    </row>
    <row r="68" spans="2:10" ht="10.5" customHeight="1">
      <c r="J68" s="9"/>
    </row>
    <row r="69" spans="2:10" ht="10.5" customHeight="1">
      <c r="J69" s="9"/>
    </row>
    <row r="70" spans="2:10" ht="10.5" customHeight="1">
      <c r="J70" s="9"/>
    </row>
    <row r="71" spans="2:10" ht="10.5" customHeight="1">
      <c r="J71" s="9"/>
    </row>
    <row r="72" spans="2:10" ht="10.5" customHeight="1">
      <c r="J72" s="9"/>
    </row>
    <row r="73" spans="2:10" ht="10.5" customHeight="1">
      <c r="J73" s="9"/>
    </row>
    <row r="74" spans="2:10" ht="10.5" customHeight="1">
      <c r="J74" s="9"/>
    </row>
    <row r="75" spans="2:10" ht="10.5" customHeight="1">
      <c r="J75" s="9"/>
    </row>
    <row r="76" spans="2:10" ht="10.5" customHeight="1">
      <c r="J76" s="9"/>
    </row>
    <row r="77" spans="2:10" ht="10.5" customHeight="1">
      <c r="J77" s="9"/>
    </row>
    <row r="78" spans="2:10" ht="10.5" customHeight="1">
      <c r="J78" s="9"/>
    </row>
    <row r="79" spans="2:10" ht="10.5" customHeight="1">
      <c r="J79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2092-48E6-4F98-A70B-9802A7B63BB2}">
  <dimension ref="A2:J73"/>
  <sheetViews>
    <sheetView zoomScale="115" zoomScaleNormal="115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D45" sqref="D45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 t="shared" ref="B5:B12" si="0">C5&amp;"|"&amp;E5</f>
        <v>PURCHASE_TYPE|0</v>
      </c>
      <c r="C5" s="9" t="s">
        <v>217</v>
      </c>
      <c r="D5" s="9" t="s">
        <v>41</v>
      </c>
      <c r="E5" s="9">
        <v>0</v>
      </c>
      <c r="F5" s="8" t="str">
        <f t="shared" ref="F5:F11" si="1">IF(H5="", "", H5&amp;IF(I5="", "", " | "&amp;I5)&amp;IF(J54="", "", " | "&amp;J54))</f>
        <v>상품 구매 형태 | None</v>
      </c>
      <c r="H5" s="9" t="s">
        <v>223</v>
      </c>
      <c r="I5" s="9" t="s">
        <v>41</v>
      </c>
      <c r="J5" s="9"/>
    </row>
    <row r="6" spans="1:10">
      <c r="B6" s="8" t="str">
        <f t="shared" si="0"/>
        <v>PURCHASE_TYPE|1</v>
      </c>
      <c r="C6" s="9" t="s">
        <v>217</v>
      </c>
      <c r="D6" s="9" t="s">
        <v>219</v>
      </c>
      <c r="E6" s="9">
        <v>1</v>
      </c>
      <c r="F6" s="8" t="str">
        <f t="shared" si="1"/>
        <v>상품 구매 형태 | 캐쉬</v>
      </c>
      <c r="H6" s="9" t="s">
        <v>223</v>
      </c>
      <c r="I6" s="9" t="s">
        <v>224</v>
      </c>
      <c r="J6" s="9"/>
    </row>
    <row r="7" spans="1:10">
      <c r="B7" s="8" t="str">
        <f t="shared" si="0"/>
        <v>PURCHASE_TYPE|2</v>
      </c>
      <c r="C7" s="9" t="s">
        <v>217</v>
      </c>
      <c r="D7" s="9" t="s">
        <v>242</v>
      </c>
      <c r="E7" s="9">
        <v>2</v>
      </c>
      <c r="F7" s="8" t="str">
        <f t="shared" si="1"/>
        <v>상품 구매 형태 | 광고 시청 후 제공</v>
      </c>
      <c r="H7" s="9" t="s">
        <v>223</v>
      </c>
      <c r="I7" s="9" t="s">
        <v>225</v>
      </c>
      <c r="J7" s="9"/>
    </row>
    <row r="8" spans="1:10">
      <c r="B8" s="8" t="str">
        <f t="shared" si="0"/>
        <v>PURCHASE_TYPE|3</v>
      </c>
      <c r="C8" s="9" t="s">
        <v>217</v>
      </c>
      <c r="D8" s="9" t="s">
        <v>220</v>
      </c>
      <c r="E8" s="9">
        <v>3</v>
      </c>
      <c r="F8" s="8" t="str">
        <f t="shared" si="1"/>
        <v>상품 구매 형태 | 무료 제공</v>
      </c>
      <c r="H8" s="9" t="s">
        <v>223</v>
      </c>
      <c r="I8" s="9" t="s">
        <v>226</v>
      </c>
      <c r="J8" s="9"/>
    </row>
    <row r="9" spans="1:10">
      <c r="B9" s="8" t="str">
        <f t="shared" si="0"/>
        <v>BUNDLE_TYPE|0</v>
      </c>
      <c r="C9" s="9" t="s">
        <v>218</v>
      </c>
      <c r="D9" s="9" t="s">
        <v>41</v>
      </c>
      <c r="E9" s="9">
        <v>0</v>
      </c>
      <c r="F9" s="8" t="str">
        <f t="shared" si="1"/>
        <v>패키지 타입 | None</v>
      </c>
      <c r="H9" s="9" t="s">
        <v>227</v>
      </c>
      <c r="I9" s="9" t="s">
        <v>41</v>
      </c>
      <c r="J9" s="9"/>
    </row>
    <row r="10" spans="1:10">
      <c r="B10" s="8" t="str">
        <f t="shared" si="0"/>
        <v>BUNDLE_TYPE|1</v>
      </c>
      <c r="C10" s="9" t="s">
        <v>218</v>
      </c>
      <c r="D10" s="9" t="s">
        <v>236</v>
      </c>
      <c r="E10" s="9">
        <v>1</v>
      </c>
      <c r="F10" s="8" t="str">
        <f t="shared" si="1"/>
        <v>패키지 타입 | 광고 제거 타입</v>
      </c>
      <c r="H10" s="9" t="s">
        <v>227</v>
      </c>
      <c r="I10" s="9" t="s">
        <v>228</v>
      </c>
      <c r="J10" s="9"/>
    </row>
    <row r="11" spans="1:10">
      <c r="B11" s="8" t="str">
        <f t="shared" si="0"/>
        <v>BUNDLE_TYPE|2</v>
      </c>
      <c r="C11" s="9" t="s">
        <v>218</v>
      </c>
      <c r="D11" s="9" t="s">
        <v>221</v>
      </c>
      <c r="E11" s="9">
        <v>2</v>
      </c>
      <c r="F11" s="8" t="str">
        <f t="shared" si="1"/>
        <v>패키지 타입 | 일반 타입</v>
      </c>
      <c r="H11" s="9" t="s">
        <v>227</v>
      </c>
      <c r="I11" s="9" t="s">
        <v>229</v>
      </c>
      <c r="J11" s="9"/>
    </row>
    <row r="12" spans="1:10">
      <c r="B12" s="8" t="str">
        <f t="shared" si="0"/>
        <v>BUNDLE_TYPE|3</v>
      </c>
      <c r="C12" s="9" t="s">
        <v>218</v>
      </c>
      <c r="D12" s="9" t="s">
        <v>222</v>
      </c>
      <c r="E12" s="9">
        <v>3</v>
      </c>
      <c r="F12" s="8" t="str">
        <f t="shared" ref="F12:F18" si="2">IF(H12="", "", H12&amp;IF(I12="", "", " | "&amp;I12)&amp;IF(J65="", "", " | "&amp;J65))</f>
        <v>패키지 타입 | 인게임 상점 타입</v>
      </c>
      <c r="H12" s="9" t="s">
        <v>227</v>
      </c>
      <c r="I12" s="9" t="s">
        <v>230</v>
      </c>
      <c r="J12" s="9"/>
    </row>
    <row r="13" spans="1:10">
      <c r="B13" s="8" t="str">
        <f t="shared" ref="B13" si="3">C13&amp;"|"&amp;E13</f>
        <v>PACKAGE_BG_TYPE|0</v>
      </c>
      <c r="C13" s="9" t="s">
        <v>243</v>
      </c>
      <c r="D13" s="9" t="s">
        <v>41</v>
      </c>
      <c r="E13" s="9">
        <v>0</v>
      </c>
      <c r="F13" s="8" t="str">
        <f t="shared" si="2"/>
        <v>패키지 배경 | None</v>
      </c>
      <c r="H13" s="9" t="s">
        <v>244</v>
      </c>
      <c r="I13" s="9" t="s">
        <v>41</v>
      </c>
      <c r="J13" s="9"/>
    </row>
    <row r="14" spans="1:10">
      <c r="B14" s="8" t="str">
        <f t="shared" ref="B14" si="4">C14&amp;"|"&amp;E14</f>
        <v>PACKAGE_BG_TYPE|1</v>
      </c>
      <c r="C14" s="9" t="s">
        <v>243</v>
      </c>
      <c r="D14" s="9" t="s">
        <v>236</v>
      </c>
      <c r="E14" s="9">
        <v>1</v>
      </c>
      <c r="F14" s="8" t="str">
        <f t="shared" si="2"/>
        <v>패키지 배경 | 광고 제거 포함</v>
      </c>
      <c r="H14" s="9" t="s">
        <v>244</v>
      </c>
      <c r="I14" s="9" t="s">
        <v>245</v>
      </c>
      <c r="J14" s="9"/>
    </row>
    <row r="15" spans="1:10">
      <c r="B15" s="8" t="str">
        <f t="shared" ref="B15" si="5">C15&amp;"|"&amp;E15</f>
        <v>PACKAGE_BG_TYPE|2</v>
      </c>
      <c r="C15" s="9" t="s">
        <v>243</v>
      </c>
      <c r="D15" s="9" t="s">
        <v>246</v>
      </c>
      <c r="E15" s="9">
        <v>2</v>
      </c>
      <c r="F15" s="8" t="str">
        <f t="shared" si="2"/>
        <v>패키지 배경 | 일반 패키지 1</v>
      </c>
      <c r="H15" s="9" t="s">
        <v>244</v>
      </c>
      <c r="I15" s="9" t="s">
        <v>247</v>
      </c>
      <c r="J15" s="9"/>
    </row>
    <row r="16" spans="1:10">
      <c r="B16" s="8" t="str">
        <f t="shared" ref="B16" si="6">C16&amp;"|"&amp;E16</f>
        <v>PACKAGE_BG_TYPE|3</v>
      </c>
      <c r="C16" s="9" t="s">
        <v>243</v>
      </c>
      <c r="D16" s="9" t="s">
        <v>357</v>
      </c>
      <c r="E16" s="9">
        <v>3</v>
      </c>
      <c r="F16" s="8" t="str">
        <f t="shared" si="2"/>
        <v>패키지 배경 | 일반 패키지 2</v>
      </c>
      <c r="H16" s="9" t="s">
        <v>244</v>
      </c>
      <c r="I16" s="9" t="s">
        <v>358</v>
      </c>
      <c r="J16" s="9"/>
    </row>
    <row r="17" spans="2:10">
      <c r="B17" s="8" t="str">
        <f t="shared" ref="B17" si="7">C17&amp;"|"&amp;E17</f>
        <v>PACKAGE_BG_TYPE|4</v>
      </c>
      <c r="C17" s="9" t="s">
        <v>243</v>
      </c>
      <c r="D17" s="9" t="s">
        <v>359</v>
      </c>
      <c r="E17" s="9">
        <v>4</v>
      </c>
      <c r="F17" s="8" t="str">
        <f t="shared" si="2"/>
        <v>패키지 배경 | 일반 패키지 3</v>
      </c>
      <c r="H17" s="9" t="s">
        <v>244</v>
      </c>
      <c r="I17" s="9" t="s">
        <v>360</v>
      </c>
      <c r="J17" s="9"/>
    </row>
    <row r="18" spans="2:10">
      <c r="B18" s="8" t="str">
        <f t="shared" ref="B18" si="8">C18&amp;"|"&amp;E18</f>
        <v>PACKAGE_BG_TYPE|5</v>
      </c>
      <c r="C18" s="9" t="s">
        <v>243</v>
      </c>
      <c r="D18" s="9" t="s">
        <v>498</v>
      </c>
      <c r="E18" s="9">
        <v>5</v>
      </c>
      <c r="F18" s="8" t="str">
        <f t="shared" si="2"/>
        <v>패키지 배경 | 버닝 번들 1</v>
      </c>
      <c r="H18" s="9" t="s">
        <v>244</v>
      </c>
      <c r="I18" s="9" t="s">
        <v>499</v>
      </c>
      <c r="J18" s="9"/>
    </row>
    <row r="19" spans="2:10" ht="10.5" customHeight="1">
      <c r="B19" s="8" t="str">
        <f t="shared" ref="B19:B20" si="9">C19&amp;"|"&amp;E19</f>
        <v>BUNDLE_TYPE|4</v>
      </c>
      <c r="C19" s="9" t="s">
        <v>218</v>
      </c>
      <c r="D19" s="9" t="s">
        <v>361</v>
      </c>
      <c r="E19" s="9">
        <v>4</v>
      </c>
      <c r="F19" s="8" t="str">
        <f>IF(H19="", "", H19&amp;IF(I19="", "", " | "&amp;I19)&amp;IF(J71="", "", " | "&amp;J71))</f>
        <v>패키지 타입 | 스페셜 오퍼 타입</v>
      </c>
      <c r="H19" s="9" t="s">
        <v>227</v>
      </c>
      <c r="I19" s="9" t="s">
        <v>362</v>
      </c>
      <c r="J19" s="9"/>
    </row>
    <row r="20" spans="2:10" ht="10.5" customHeight="1">
      <c r="B20" s="8" t="str">
        <f t="shared" si="9"/>
        <v>SPECIAL_OFFER_TYPE|0</v>
      </c>
      <c r="C20" s="9" t="s">
        <v>445</v>
      </c>
      <c r="D20" s="9" t="s">
        <v>41</v>
      </c>
      <c r="E20" s="9">
        <v>0</v>
      </c>
      <c r="F20" s="8" t="str">
        <f>IF(H20="", "", H20&amp;IF(I20="", "", " | "&amp;I20)&amp;IF(J72="", "", " | "&amp;J72))</f>
        <v>스페셜 오퍼 타입 | None</v>
      </c>
      <c r="H20" s="9" t="s">
        <v>362</v>
      </c>
      <c r="I20" s="9" t="s">
        <v>41</v>
      </c>
      <c r="J20" s="9"/>
    </row>
    <row r="21" spans="2:10" ht="10.5" customHeight="1">
      <c r="B21" s="8" t="str">
        <f t="shared" ref="B21" si="10">C21&amp;"|"&amp;E21</f>
        <v>SPECIAL_OFFER_TYPE|1</v>
      </c>
      <c r="C21" s="9" t="s">
        <v>445</v>
      </c>
      <c r="D21" s="9" t="s">
        <v>455</v>
      </c>
      <c r="E21" s="9">
        <v>1</v>
      </c>
      <c r="F21" s="8" t="str">
        <f>IF(H21="", "", H21&amp;IF(I21="", "", " | "&amp;I21)&amp;IF(J73="", "", " | "&amp;J73))</f>
        <v>스페셜 오퍼 타입 | 픽원 오퍼</v>
      </c>
      <c r="H21" s="9" t="s">
        <v>362</v>
      </c>
      <c r="I21" s="9" t="s">
        <v>456</v>
      </c>
      <c r="J21" s="9"/>
    </row>
    <row r="22" spans="2:10" ht="9.75" customHeight="1">
      <c r="B22" s="8" t="str">
        <f t="shared" ref="B22" si="11">C22&amp;"|"&amp;E22</f>
        <v>SPECIAL_OFFER_TYPE|2</v>
      </c>
      <c r="C22" s="9" t="s">
        <v>445</v>
      </c>
      <c r="D22" s="9" t="s">
        <v>364</v>
      </c>
      <c r="E22" s="9">
        <v>2</v>
      </c>
      <c r="F22" s="8" t="str">
        <f>IF(H22="", "", H22&amp;IF(I22="", "", " | "&amp;I22)&amp;IF(J73="", "", " | "&amp;J73))</f>
        <v>스페셜 오퍼 타입 | 웰컴딜</v>
      </c>
      <c r="H22" s="9" t="s">
        <v>362</v>
      </c>
      <c r="I22" s="9" t="s">
        <v>363</v>
      </c>
      <c r="J22" s="9"/>
    </row>
    <row r="23" spans="2:10" ht="10.5" customHeight="1">
      <c r="B23" s="8" t="str">
        <f t="shared" ref="B23" si="12">C23&amp;"|"&amp;E23</f>
        <v>SPECIAL_OFFER_TYPE|3</v>
      </c>
      <c r="C23" s="9" t="s">
        <v>445</v>
      </c>
      <c r="D23" s="9" t="s">
        <v>449</v>
      </c>
      <c r="E23" s="9">
        <v>3</v>
      </c>
      <c r="F23" s="8" t="str">
        <f>IF(H23="", "", H23&amp;IF(I23="", "", " | "&amp;I23)&amp;IF(J74="", "", " | "&amp;J74))</f>
        <v>스페셜 오퍼 타입 | 엔드리스 오퍼</v>
      </c>
      <c r="H23" s="9" t="s">
        <v>362</v>
      </c>
      <c r="I23" s="9" t="s">
        <v>452</v>
      </c>
      <c r="J23" s="9"/>
    </row>
    <row r="24" spans="2:10" ht="10.5" customHeight="1">
      <c r="B24" s="8" t="str">
        <f t="shared" ref="B24" si="13">C24&amp;"|"&amp;E24</f>
        <v>SPECIAL_OFFER_TYPE|4</v>
      </c>
      <c r="C24" s="9" t="s">
        <v>445</v>
      </c>
      <c r="D24" s="9" t="s">
        <v>527</v>
      </c>
      <c r="E24" s="9">
        <v>4</v>
      </c>
      <c r="F24" s="8" t="str">
        <f>IF(H24="", "", H24&amp;IF(I24="", "", " | "&amp;I24)&amp;IF(J75="", "", " | "&amp;J75))</f>
        <v>스페셜 오퍼 타입 | 코인러쉬</v>
      </c>
      <c r="H24" s="9" t="s">
        <v>362</v>
      </c>
      <c r="I24" s="9" t="s">
        <v>526</v>
      </c>
      <c r="J24" s="9"/>
    </row>
    <row r="25" spans="2:10" ht="10.5" customHeight="1">
      <c r="B25" s="8" t="str">
        <f t="shared" ref="B25" si="14">C25&amp;"|"&amp;E25</f>
        <v>PICKONE_OFFER_TYPE|0</v>
      </c>
      <c r="C25" s="9" t="s">
        <v>457</v>
      </c>
      <c r="D25" s="9" t="s">
        <v>41</v>
      </c>
      <c r="E25" s="9">
        <v>0</v>
      </c>
      <c r="F25" s="8" t="str">
        <f t="shared" ref="F25:F35" si="15">IF(H25="", "", H25&amp;IF(I25="", "", " | "&amp;I25)&amp;IF(J75="", "", " | "&amp;J75))</f>
        <v>픽원 오퍼 타입 | None</v>
      </c>
      <c r="H25" s="9" t="s">
        <v>458</v>
      </c>
      <c r="I25" s="9" t="s">
        <v>41</v>
      </c>
      <c r="J25" s="9"/>
    </row>
    <row r="26" spans="2:10" ht="10.5" customHeight="1">
      <c r="B26" s="8" t="str">
        <f t="shared" ref="B26:B29" si="16">C26&amp;"|"&amp;E26</f>
        <v>PICKONE_OFFER_TYPE|1</v>
      </c>
      <c r="C26" s="9" t="s">
        <v>457</v>
      </c>
      <c r="D26" s="9" t="s">
        <v>446</v>
      </c>
      <c r="E26" s="9">
        <v>1</v>
      </c>
      <c r="F26" s="8" t="str">
        <f t="shared" si="15"/>
        <v>픽원 오퍼 타입 | 시즌1</v>
      </c>
      <c r="H26" s="9" t="s">
        <v>458</v>
      </c>
      <c r="I26" s="9" t="s">
        <v>461</v>
      </c>
      <c r="J26" s="9"/>
    </row>
    <row r="27" spans="2:10" ht="10.5" customHeight="1">
      <c r="B27" s="8" t="str">
        <f t="shared" si="16"/>
        <v>PICKONE_OFFER_TYPE|2</v>
      </c>
      <c r="C27" s="9" t="s">
        <v>457</v>
      </c>
      <c r="D27" s="9" t="s">
        <v>450</v>
      </c>
      <c r="E27" s="9">
        <v>2</v>
      </c>
      <c r="F27" s="8" t="str">
        <f t="shared" si="15"/>
        <v>픽원 오퍼 타입 | 시즌2</v>
      </c>
      <c r="H27" s="9" t="s">
        <v>458</v>
      </c>
      <c r="I27" s="9" t="s">
        <v>462</v>
      </c>
      <c r="J27" s="9"/>
    </row>
    <row r="28" spans="2:10" ht="10.5" customHeight="1">
      <c r="B28" s="8" t="str">
        <f t="shared" si="16"/>
        <v>PICKONE_OFFER_TYPE|3</v>
      </c>
      <c r="C28" s="9" t="s">
        <v>457</v>
      </c>
      <c r="D28" s="9" t="s">
        <v>451</v>
      </c>
      <c r="E28" s="9">
        <v>3</v>
      </c>
      <c r="F28" s="8" t="str">
        <f t="shared" si="15"/>
        <v>픽원 오퍼 타입 | 시즌3</v>
      </c>
      <c r="H28" s="9" t="s">
        <v>458</v>
      </c>
      <c r="I28" s="9" t="s">
        <v>463</v>
      </c>
      <c r="J28" s="9"/>
    </row>
    <row r="29" spans="2:10" ht="10.5" customHeight="1">
      <c r="B29" s="8" t="str">
        <f t="shared" si="16"/>
        <v>PICKONE_OFFER_TYPE|4</v>
      </c>
      <c r="C29" s="9" t="s">
        <v>457</v>
      </c>
      <c r="D29" s="9" t="s">
        <v>475</v>
      </c>
      <c r="E29" s="9">
        <v>4</v>
      </c>
      <c r="F29" s="8" t="str">
        <f t="shared" si="15"/>
        <v>픽원 오퍼 타입 | 시즌4</v>
      </c>
      <c r="H29" s="9" t="s">
        <v>458</v>
      </c>
      <c r="I29" s="9" t="s">
        <v>476</v>
      </c>
      <c r="J29" s="9"/>
    </row>
    <row r="30" spans="2:10" ht="10.5" customHeight="1">
      <c r="B30" s="8" t="str">
        <f t="shared" ref="B30" si="17">C30&amp;"|"&amp;E30</f>
        <v>PICKONE_OFFER_TYPE|5</v>
      </c>
      <c r="C30" s="9" t="s">
        <v>457</v>
      </c>
      <c r="D30" s="9" t="s">
        <v>477</v>
      </c>
      <c r="E30" s="9">
        <v>5</v>
      </c>
      <c r="F30" s="8" t="str">
        <f t="shared" si="15"/>
        <v>픽원 오퍼 타입 | 시즌5</v>
      </c>
      <c r="H30" s="9" t="s">
        <v>458</v>
      </c>
      <c r="I30" s="9" t="s">
        <v>478</v>
      </c>
      <c r="J30" s="9"/>
    </row>
    <row r="31" spans="2:10" ht="10.5" customHeight="1">
      <c r="B31" s="8" t="str">
        <f t="shared" ref="B31" si="18">C31&amp;"|"&amp;E31</f>
        <v>PICKONE_OFFER_TYPE|6</v>
      </c>
      <c r="C31" s="9" t="s">
        <v>457</v>
      </c>
      <c r="D31" s="9" t="s">
        <v>509</v>
      </c>
      <c r="E31" s="9">
        <v>6</v>
      </c>
      <c r="F31" s="8" t="str">
        <f t="shared" si="15"/>
        <v>픽원 오퍼 타입 | 시즌6</v>
      </c>
      <c r="H31" s="9" t="s">
        <v>458</v>
      </c>
      <c r="I31" s="9" t="s">
        <v>510</v>
      </c>
      <c r="J31" s="9"/>
    </row>
    <row r="32" spans="2:10" ht="10.5" customHeight="1">
      <c r="B32" s="8" t="str">
        <f t="shared" ref="B32" si="19">C32&amp;"|"&amp;E32</f>
        <v>PICKONE_OFFER_TYPE|7</v>
      </c>
      <c r="C32" s="9" t="s">
        <v>457</v>
      </c>
      <c r="D32" s="9" t="s">
        <v>515</v>
      </c>
      <c r="E32" s="9">
        <v>7</v>
      </c>
      <c r="F32" s="8" t="str">
        <f t="shared" si="15"/>
        <v>픽원 오퍼 타입 | 시즌7</v>
      </c>
      <c r="H32" s="9" t="s">
        <v>458</v>
      </c>
      <c r="I32" s="9" t="s">
        <v>516</v>
      </c>
      <c r="J32" s="9"/>
    </row>
    <row r="33" spans="2:10" ht="10.5" customHeight="1">
      <c r="B33" s="8" t="str">
        <f t="shared" ref="B33" si="20">C33&amp;"|"&amp;E33</f>
        <v>PICKONE_OFFER_TYPE|8</v>
      </c>
      <c r="C33" s="9" t="s">
        <v>457</v>
      </c>
      <c r="D33" s="9" t="s">
        <v>517</v>
      </c>
      <c r="E33" s="9">
        <v>8</v>
      </c>
      <c r="F33" s="8" t="str">
        <f t="shared" si="15"/>
        <v>픽원 오퍼 타입 | 시즌8</v>
      </c>
      <c r="H33" s="9" t="s">
        <v>458</v>
      </c>
      <c r="I33" s="9" t="s">
        <v>518</v>
      </c>
      <c r="J33" s="9"/>
    </row>
    <row r="34" spans="2:10" ht="10.5" customHeight="1">
      <c r="B34" s="8" t="str">
        <f t="shared" ref="B34" si="21">C34&amp;"|"&amp;E34</f>
        <v>PICKONE_OFFER_TYPE|9</v>
      </c>
      <c r="C34" s="9" t="s">
        <v>457</v>
      </c>
      <c r="D34" s="9" t="s">
        <v>521</v>
      </c>
      <c r="E34" s="9">
        <v>9</v>
      </c>
      <c r="F34" s="8" t="str">
        <f t="shared" si="15"/>
        <v>픽원 오퍼 타입 | 시즌9</v>
      </c>
      <c r="H34" s="9" t="s">
        <v>458</v>
      </c>
      <c r="I34" s="9" t="s">
        <v>522</v>
      </c>
      <c r="J34" s="9"/>
    </row>
    <row r="35" spans="2:10" ht="10.5" customHeight="1">
      <c r="B35" s="8" t="str">
        <f t="shared" ref="B35" si="22">C35&amp;"|"&amp;E35</f>
        <v>PICKONE_OFFER_TYPE|10</v>
      </c>
      <c r="C35" s="9" t="s">
        <v>457</v>
      </c>
      <c r="D35" s="9" t="s">
        <v>544</v>
      </c>
      <c r="E35" s="9">
        <v>10</v>
      </c>
      <c r="F35" s="8" t="str">
        <f t="shared" si="15"/>
        <v>픽원 오퍼 타입 | 시즌10</v>
      </c>
      <c r="H35" s="9" t="s">
        <v>458</v>
      </c>
      <c r="I35" s="9" t="s">
        <v>545</v>
      </c>
      <c r="J35" s="9"/>
    </row>
    <row r="36" spans="2:10" ht="10.5" customHeight="1">
      <c r="B36" s="8" t="str">
        <f t="shared" ref="B36" si="23">C36&amp;"|"&amp;E36</f>
        <v>WELCOME_DEAL_TYPE|0</v>
      </c>
      <c r="C36" s="9" t="s">
        <v>459</v>
      </c>
      <c r="D36" s="9" t="s">
        <v>41</v>
      </c>
      <c r="E36" s="9">
        <v>0</v>
      </c>
      <c r="F36" s="8" t="str">
        <f t="shared" ref="F36:F40" si="24">IF(H36="", "", H36&amp;IF(I36="", "", " | "&amp;I36)&amp;IF(J79="", "", " | "&amp;J79))</f>
        <v>웰컴딜 타입 | None</v>
      </c>
      <c r="H36" s="9" t="s">
        <v>460</v>
      </c>
      <c r="I36" s="9" t="s">
        <v>41</v>
      </c>
      <c r="J36" s="9"/>
    </row>
    <row r="37" spans="2:10" ht="10.5" customHeight="1">
      <c r="B37" s="8" t="str">
        <f t="shared" ref="B37:B38" si="25">C37&amp;"|"&amp;E37</f>
        <v>WELCOME_DEAL_TYPE|1</v>
      </c>
      <c r="C37" s="9" t="s">
        <v>459</v>
      </c>
      <c r="D37" s="9" t="s">
        <v>447</v>
      </c>
      <c r="E37" s="9">
        <v>1</v>
      </c>
      <c r="F37" s="8" t="str">
        <f t="shared" si="24"/>
        <v>웰컴딜 타입 | 시즌1</v>
      </c>
      <c r="H37" s="9" t="s">
        <v>460</v>
      </c>
      <c r="I37" s="9" t="s">
        <v>461</v>
      </c>
      <c r="J37" s="9"/>
    </row>
    <row r="38" spans="2:10" ht="10.5" customHeight="1">
      <c r="B38" s="8" t="str">
        <f t="shared" si="25"/>
        <v>WELCOME_DEAL_TYPE|2</v>
      </c>
      <c r="C38" s="9" t="s">
        <v>459</v>
      </c>
      <c r="D38" s="9" t="s">
        <v>453</v>
      </c>
      <c r="E38" s="9">
        <v>2</v>
      </c>
      <c r="F38" s="8" t="str">
        <f t="shared" si="24"/>
        <v>웰컴딜 타입 | 시즌2</v>
      </c>
      <c r="H38" s="9" t="s">
        <v>460</v>
      </c>
      <c r="I38" s="9" t="s">
        <v>462</v>
      </c>
      <c r="J38" s="9"/>
    </row>
    <row r="39" spans="2:10" ht="10.5" customHeight="1">
      <c r="B39" s="8" t="str">
        <f t="shared" ref="B39" si="26">C39&amp;"|"&amp;E39</f>
        <v>ENDLESS_OFFER_TYPE|0</v>
      </c>
      <c r="C39" s="9" t="s">
        <v>464</v>
      </c>
      <c r="D39" s="9" t="s">
        <v>41</v>
      </c>
      <c r="E39" s="9">
        <v>0</v>
      </c>
      <c r="F39" s="8" t="str">
        <f t="shared" si="24"/>
        <v>엔드리스 오퍼 | None</v>
      </c>
      <c r="H39" s="9" t="s">
        <v>452</v>
      </c>
      <c r="I39" s="9" t="s">
        <v>41</v>
      </c>
      <c r="J39" s="9"/>
    </row>
    <row r="40" spans="2:10" ht="10.5" customHeight="1">
      <c r="B40" s="8" t="str">
        <f t="shared" ref="B40:B42" si="27">C40&amp;"|"&amp;E40</f>
        <v>ENDLESS_OFFER_TYPE|1</v>
      </c>
      <c r="C40" s="9" t="s">
        <v>464</v>
      </c>
      <c r="D40" s="9" t="s">
        <v>454</v>
      </c>
      <c r="E40" s="9">
        <v>1</v>
      </c>
      <c r="F40" s="8" t="str">
        <f t="shared" si="24"/>
        <v>엔드리스 오퍼 | 세로형 1</v>
      </c>
      <c r="H40" s="9" t="s">
        <v>452</v>
      </c>
      <c r="I40" s="9" t="s">
        <v>465</v>
      </c>
      <c r="J40" s="9"/>
    </row>
    <row r="41" spans="2:10" ht="10.5" customHeight="1">
      <c r="B41" s="8" t="str">
        <f t="shared" si="27"/>
        <v>ENDLESS_OFFER_TYPE|2</v>
      </c>
      <c r="C41" s="9" t="s">
        <v>464</v>
      </c>
      <c r="D41" s="9" t="s">
        <v>448</v>
      </c>
      <c r="E41" s="9">
        <v>2</v>
      </c>
      <c r="F41" s="8" t="str">
        <f>IF(H41="", "", H41&amp;IF(I41="", "", " | "&amp;I41)&amp;IF(J84="", "", " | "&amp;J84))</f>
        <v>엔드리스 오퍼 | 체인형 1</v>
      </c>
      <c r="H41" s="9" t="s">
        <v>452</v>
      </c>
      <c r="I41" s="9" t="s">
        <v>500</v>
      </c>
      <c r="J41" s="9"/>
    </row>
    <row r="42" spans="2:10" ht="10.5" customHeight="1">
      <c r="B42" s="8" t="str">
        <f t="shared" si="27"/>
        <v>PACKAGE_BG_TYPE|6</v>
      </c>
      <c r="C42" s="9" t="s">
        <v>243</v>
      </c>
      <c r="D42" s="9" t="s">
        <v>512</v>
      </c>
      <c r="E42" s="9">
        <v>6</v>
      </c>
      <c r="F42" s="8" t="str">
        <f>IF(H42="", "", H42&amp;IF(I42="", "", " | "&amp;I42)&amp;IF(J85="", "", " | "&amp;J85))</f>
        <v>패키지 배경 | 실패 번들</v>
      </c>
      <c r="H42" s="9" t="s">
        <v>244</v>
      </c>
      <c r="I42" s="9" t="s">
        <v>511</v>
      </c>
      <c r="J42" s="9"/>
    </row>
    <row r="43" spans="2:10" ht="10.5" customHeight="1">
      <c r="B43" s="8" t="str">
        <f t="shared" ref="B43" si="28">C43&amp;"|"&amp;E43</f>
        <v>COIN_RUSH_TYPE|0</v>
      </c>
      <c r="C43" s="9" t="s">
        <v>523</v>
      </c>
      <c r="D43" s="9" t="s">
        <v>41</v>
      </c>
      <c r="E43" s="9">
        <v>0</v>
      </c>
      <c r="F43" s="8" t="str">
        <f>IF(H43="", "", H43&amp;IF(I43="", "", " | "&amp;I43)&amp;IF(J86="", "", " | "&amp;J86))</f>
        <v>코인 러쉬 타입 | None</v>
      </c>
      <c r="H43" s="9" t="s">
        <v>524</v>
      </c>
      <c r="I43" s="9" t="s">
        <v>41</v>
      </c>
      <c r="J43" s="9"/>
    </row>
    <row r="44" spans="2:10" ht="10.5" customHeight="1">
      <c r="B44" s="8" t="str">
        <f t="shared" ref="B44" si="29">C44&amp;"|"&amp;E44</f>
        <v>COIN_RUSH_TYPE|1</v>
      </c>
      <c r="C44" s="9" t="s">
        <v>523</v>
      </c>
      <c r="D44" s="9" t="s">
        <v>525</v>
      </c>
      <c r="E44" s="9">
        <v>1</v>
      </c>
      <c r="F44" s="8" t="str">
        <f>IF(H44="", "", H44&amp;IF(I44="", "", " | "&amp;I44)&amp;IF(J87="", "", " | "&amp;J87))</f>
        <v>코인 러쉬 타입 | 시즌1</v>
      </c>
      <c r="H44" s="9" t="s">
        <v>524</v>
      </c>
      <c r="I44" s="9" t="s">
        <v>461</v>
      </c>
      <c r="J44" s="9"/>
    </row>
    <row r="45" spans="2:10" ht="10.5" customHeight="1">
      <c r="J45" s="9"/>
    </row>
    <row r="46" spans="2:10" ht="10.5" customHeight="1">
      <c r="J46" s="9"/>
    </row>
    <row r="47" spans="2:10" ht="10.5" customHeight="1">
      <c r="J47" s="9"/>
    </row>
    <row r="48" spans="2:10" ht="10.5" customHeight="1">
      <c r="J48" s="9"/>
    </row>
    <row r="49" spans="2:10" ht="10.5" customHeight="1">
      <c r="J49" s="9"/>
    </row>
    <row r="50" spans="2:10" ht="10.5" customHeight="1">
      <c r="J50" s="9"/>
    </row>
    <row r="51" spans="2:10" ht="10.5" customHeight="1">
      <c r="J51" s="9"/>
    </row>
    <row r="52" spans="2:10" ht="10.5" customHeight="1">
      <c r="J52" s="9"/>
    </row>
    <row r="53" spans="2:10" ht="10.5" customHeight="1">
      <c r="J53" s="9"/>
    </row>
    <row r="54" spans="2:10" ht="10.5" customHeight="1">
      <c r="J54" s="9"/>
    </row>
    <row r="55" spans="2:10" ht="10.5" customHeight="1">
      <c r="J55" s="9"/>
    </row>
    <row r="56" spans="2:10" ht="10.5" customHeight="1">
      <c r="J56" s="9"/>
    </row>
    <row r="57" spans="2:10" ht="10.5" customHeight="1">
      <c r="J57" s="9"/>
    </row>
    <row r="58" spans="2:10" ht="10.5" customHeight="1">
      <c r="J58" s="9"/>
    </row>
    <row r="59" spans="2:10" ht="10.5" customHeight="1">
      <c r="J59" s="9"/>
    </row>
    <row r="60" spans="2:10" ht="10.5" customHeight="1"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J63" s="9"/>
    </row>
    <row r="64" spans="2:10" ht="10.5" customHeight="1">
      <c r="J64" s="9"/>
    </row>
    <row r="65" spans="10:10" ht="10.5" customHeight="1">
      <c r="J65" s="9"/>
    </row>
    <row r="66" spans="10:10" ht="10.5" customHeight="1">
      <c r="J66" s="9"/>
    </row>
    <row r="67" spans="10:10" ht="10.5" customHeight="1">
      <c r="J67" s="9"/>
    </row>
    <row r="68" spans="10:10" ht="10.5" customHeight="1">
      <c r="J68" s="9"/>
    </row>
    <row r="69" spans="10:10" ht="10.5" customHeight="1">
      <c r="J69" s="9"/>
    </row>
    <row r="70" spans="10:10" ht="10.5" customHeight="1">
      <c r="J70" s="9"/>
    </row>
    <row r="71" spans="10:10" ht="10.5" customHeight="1">
      <c r="J71" s="9"/>
    </row>
    <row r="72" spans="10:10" ht="10.5" customHeight="1">
      <c r="J72" s="9"/>
    </row>
    <row r="73" spans="10:10" ht="10.5" customHeight="1">
      <c r="J7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3A7F-55A3-4159-9004-263359CF3198}">
  <dimension ref="A2:J79"/>
  <sheetViews>
    <sheetView tabSelected="1" zoomScale="115" zoomScaleNormal="11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34" sqref="F34"/>
    </sheetView>
  </sheetViews>
  <sheetFormatPr defaultColWidth="9" defaultRowHeight="11.25"/>
  <cols>
    <col min="1" max="1" width="6.6640625" style="2" bestFit="1" customWidth="1"/>
    <col min="2" max="2" width="41" style="2" bestFit="1" customWidth="1"/>
    <col min="3" max="3" width="39.6640625" style="2" bestFit="1" customWidth="1"/>
    <col min="4" max="4" width="46" style="2" bestFit="1" customWidth="1"/>
    <col min="5" max="5" width="11" style="2" bestFit="1" customWidth="1"/>
    <col min="6" max="6" width="66" style="2" customWidth="1"/>
    <col min="7" max="7" width="2.6640625" style="2" customWidth="1"/>
    <col min="8" max="8" width="26" style="2" bestFit="1" customWidth="1"/>
    <col min="9" max="9" width="58" style="2" bestFit="1" customWidth="1"/>
    <col min="10" max="10" width="43" style="2" customWidth="1"/>
    <col min="11" max="16384" width="9" style="2"/>
  </cols>
  <sheetData>
    <row r="2" spans="1:10">
      <c r="A2" s="2" t="s">
        <v>4</v>
      </c>
      <c r="B2" s="1" t="s">
        <v>6</v>
      </c>
      <c r="C2" s="1" t="s">
        <v>7</v>
      </c>
      <c r="D2" s="1" t="s">
        <v>12</v>
      </c>
      <c r="E2" s="1" t="s">
        <v>8</v>
      </c>
      <c r="F2" s="1" t="s">
        <v>9</v>
      </c>
      <c r="H2" s="3" t="s">
        <v>0</v>
      </c>
      <c r="I2" s="3" t="s">
        <v>1</v>
      </c>
      <c r="J2" s="3" t="s">
        <v>2</v>
      </c>
    </row>
    <row r="3" spans="1:10">
      <c r="B3" s="4" t="s">
        <v>13</v>
      </c>
      <c r="C3" s="4" t="s">
        <v>3</v>
      </c>
      <c r="D3" s="4" t="s">
        <v>3</v>
      </c>
      <c r="E3" s="4" t="s">
        <v>5</v>
      </c>
      <c r="F3" s="4" t="s">
        <v>3</v>
      </c>
      <c r="H3" s="5" t="s">
        <v>3</v>
      </c>
      <c r="I3" s="5" t="s">
        <v>3</v>
      </c>
      <c r="J3" s="5" t="s">
        <v>3</v>
      </c>
    </row>
    <row r="4" spans="1:10"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H4" s="7" t="s">
        <v>10</v>
      </c>
      <c r="I4" s="7" t="s">
        <v>10</v>
      </c>
      <c r="J4" s="7" t="s">
        <v>10</v>
      </c>
    </row>
    <row r="5" spans="1:10">
      <c r="B5" s="8" t="str">
        <f>C5&amp;"|"&amp;E5</f>
        <v>EVENT_TYPE|0</v>
      </c>
      <c r="C5" s="9" t="s">
        <v>289</v>
      </c>
      <c r="D5" s="9" t="s">
        <v>287</v>
      </c>
      <c r="E5" s="9">
        <v>0</v>
      </c>
      <c r="F5" s="8" t="str">
        <f>IF(H5="", "", H5&amp;IF(I5="", "", " | "&amp;I5)&amp;IF(J78="", "", " | "&amp;J78))</f>
        <v>이벤트 타입 | 블록 패스</v>
      </c>
      <c r="H5" s="9" t="s">
        <v>290</v>
      </c>
      <c r="I5" s="9" t="s">
        <v>288</v>
      </c>
      <c r="J5" s="9"/>
    </row>
    <row r="6" spans="1:10">
      <c r="B6" s="8" t="str">
        <f>C6&amp;"|"&amp;E6</f>
        <v>EVENT_TYPE|1</v>
      </c>
      <c r="C6" s="9" t="s">
        <v>289</v>
      </c>
      <c r="D6" s="9" t="s">
        <v>365</v>
      </c>
      <c r="E6" s="9">
        <v>1</v>
      </c>
      <c r="F6" s="8" t="str">
        <f>IF(H6="", "", H6&amp;IF(I6="", "", " | "&amp;I6)&amp;IF(J79="", "", " | "&amp;J79))</f>
        <v>이벤트 타입 | 팩토리 채스</v>
      </c>
      <c r="H6" s="9" t="s">
        <v>290</v>
      </c>
      <c r="I6" s="9" t="s">
        <v>366</v>
      </c>
      <c r="J6" s="9"/>
    </row>
    <row r="7" spans="1:10">
      <c r="B7" s="8" t="str">
        <f>C7&amp;"|"&amp;E7</f>
        <v>EVENT_TYPE|2</v>
      </c>
      <c r="C7" s="9" t="s">
        <v>289</v>
      </c>
      <c r="D7" s="9" t="s">
        <v>513</v>
      </c>
      <c r="E7" s="9">
        <v>2</v>
      </c>
      <c r="F7" s="8" t="str">
        <f>IF(H7="", "", H7&amp;IF(I7="", "", " | "&amp;I7)&amp;IF(J80="", "", " | "&amp;J80))</f>
        <v>이벤트 타입 | 어드벤어스트릭</v>
      </c>
      <c r="H7" s="9" t="s">
        <v>290</v>
      </c>
      <c r="I7" s="9" t="s">
        <v>514</v>
      </c>
      <c r="J7" s="9"/>
    </row>
    <row r="8" spans="1:10">
      <c r="B8" s="8" t="str">
        <f>C8&amp;"|"&amp;E8</f>
        <v>EVENT_TYPE|3</v>
      </c>
      <c r="C8" s="9" t="s">
        <v>289</v>
      </c>
      <c r="D8" s="9" t="s">
        <v>519</v>
      </c>
      <c r="E8" s="9">
        <v>3</v>
      </c>
      <c r="F8" s="8" t="str">
        <f>IF(H8="", "", H8&amp;IF(I8="", "", " | "&amp;I8)&amp;IF(J81="", "", " | "&amp;J81))</f>
        <v>이벤트 타입 | 피냐타 파티</v>
      </c>
      <c r="H8" s="9" t="s">
        <v>290</v>
      </c>
      <c r="I8" s="9" t="s">
        <v>520</v>
      </c>
      <c r="J8" s="9"/>
    </row>
    <row r="9" spans="1:10">
      <c r="B9" s="8" t="str">
        <f>C9&amp;"|"&amp;E9</f>
        <v>EVENT_TYPE|4</v>
      </c>
      <c r="C9" s="9" t="s">
        <v>289</v>
      </c>
      <c r="D9" s="9" t="s">
        <v>542</v>
      </c>
      <c r="E9" s="9">
        <v>4</v>
      </c>
      <c r="F9" s="8" t="str">
        <f>IF(H9="", "", H9&amp;IF(I9="", "", " | "&amp;I9)&amp;IF(J82="", "", " | "&amp;J82))</f>
        <v>이벤트 타입 | 윈타워</v>
      </c>
      <c r="H9" s="9" t="s">
        <v>290</v>
      </c>
      <c r="I9" s="9" t="s">
        <v>543</v>
      </c>
      <c r="J9" s="9"/>
    </row>
    <row r="10" spans="1:10">
      <c r="B10" s="8"/>
      <c r="C10" s="9"/>
      <c r="D10" s="9"/>
      <c r="E10" s="9"/>
      <c r="F10" s="8"/>
      <c r="H10" s="9"/>
      <c r="I10" s="9"/>
      <c r="J10" s="9"/>
    </row>
    <row r="11" spans="1:10">
      <c r="B11" s="8"/>
      <c r="C11" s="9"/>
      <c r="D11" s="9"/>
      <c r="E11" s="9"/>
      <c r="F11" s="8"/>
      <c r="H11" s="9"/>
      <c r="I11" s="9"/>
      <c r="J11" s="9"/>
    </row>
    <row r="12" spans="1:10">
      <c r="B12" s="8"/>
      <c r="C12" s="9"/>
      <c r="D12" s="9"/>
      <c r="E12" s="9"/>
      <c r="F12" s="8"/>
      <c r="H12" s="9"/>
      <c r="I12" s="9"/>
      <c r="J12" s="9"/>
    </row>
    <row r="13" spans="1:10">
      <c r="B13" s="8"/>
      <c r="C13" s="9"/>
      <c r="D13" s="9"/>
      <c r="E13" s="9"/>
      <c r="F13" s="8"/>
      <c r="H13" s="9"/>
      <c r="I13" s="9"/>
      <c r="J13" s="9"/>
    </row>
    <row r="14" spans="1:10">
      <c r="B14" s="8"/>
      <c r="C14" s="9"/>
      <c r="D14" s="9"/>
      <c r="E14" s="9"/>
      <c r="F14" s="8"/>
      <c r="H14" s="9"/>
      <c r="I14" s="9"/>
      <c r="J14" s="9"/>
    </row>
    <row r="15" spans="1:10">
      <c r="B15" s="8"/>
      <c r="C15" s="9"/>
      <c r="D15" s="9"/>
      <c r="E15" s="9"/>
      <c r="F15" s="8"/>
      <c r="H15" s="9"/>
      <c r="I15" s="9"/>
      <c r="J15" s="9"/>
    </row>
    <row r="16" spans="1:10">
      <c r="B16" s="8"/>
      <c r="C16" s="9"/>
      <c r="D16" s="9"/>
      <c r="E16" s="9"/>
      <c r="F16" s="8"/>
      <c r="H16" s="9"/>
      <c r="I16" s="9"/>
      <c r="J16" s="9"/>
    </row>
    <row r="17" spans="2:10">
      <c r="B17" s="8"/>
      <c r="C17" s="9"/>
      <c r="D17" s="9"/>
      <c r="E17" s="9"/>
      <c r="F17" s="8"/>
      <c r="H17" s="9"/>
      <c r="I17" s="9"/>
      <c r="J17" s="9"/>
    </row>
    <row r="18" spans="2:10">
      <c r="B18" s="8"/>
      <c r="C18" s="9"/>
      <c r="D18" s="9"/>
      <c r="E18" s="9"/>
      <c r="F18" s="8"/>
      <c r="H18" s="9"/>
      <c r="I18" s="9"/>
      <c r="J18" s="9"/>
    </row>
    <row r="19" spans="2:10">
      <c r="B19" s="8"/>
      <c r="C19" s="9"/>
      <c r="D19" s="9"/>
      <c r="E19" s="9"/>
      <c r="F19" s="8"/>
      <c r="H19" s="9"/>
      <c r="I19" s="9"/>
      <c r="J19" s="9"/>
    </row>
    <row r="20" spans="2:10">
      <c r="B20" s="8"/>
      <c r="C20" s="9"/>
      <c r="D20" s="9"/>
      <c r="E20" s="9"/>
      <c r="F20" s="8"/>
      <c r="H20" s="9"/>
      <c r="I20" s="9"/>
      <c r="J20" s="9"/>
    </row>
    <row r="21" spans="2:10">
      <c r="B21" s="8"/>
      <c r="C21" s="9"/>
      <c r="D21" s="9"/>
      <c r="E21" s="9"/>
      <c r="F21" s="8"/>
      <c r="H21" s="9"/>
      <c r="I21" s="9"/>
      <c r="J21" s="9"/>
    </row>
    <row r="22" spans="2:10">
      <c r="B22" s="8"/>
      <c r="C22" s="9"/>
      <c r="D22" s="9"/>
      <c r="E22" s="9"/>
      <c r="F22" s="8"/>
      <c r="H22" s="9"/>
      <c r="I22" s="9"/>
      <c r="J22" s="9"/>
    </row>
    <row r="23" spans="2:10">
      <c r="B23" s="8"/>
      <c r="C23" s="9"/>
      <c r="D23" s="9"/>
      <c r="E23" s="9"/>
      <c r="F23" s="8"/>
      <c r="H23" s="9"/>
      <c r="I23" s="9"/>
      <c r="J23" s="9"/>
    </row>
    <row r="24" spans="2:10">
      <c r="B24" s="8"/>
      <c r="C24" s="9"/>
      <c r="D24" s="9"/>
      <c r="E24" s="9"/>
      <c r="F24" s="8"/>
      <c r="H24" s="9"/>
      <c r="I24" s="9"/>
      <c r="J24" s="9"/>
    </row>
    <row r="25" spans="2:10">
      <c r="B25" s="8"/>
      <c r="C25" s="9"/>
      <c r="D25" s="9"/>
      <c r="E25" s="9"/>
      <c r="F25" s="8"/>
      <c r="H25" s="9"/>
      <c r="I25" s="9"/>
      <c r="J25" s="9"/>
    </row>
    <row r="26" spans="2:10">
      <c r="B26" s="8"/>
      <c r="C26" s="9"/>
      <c r="D26" s="9"/>
      <c r="E26" s="9"/>
      <c r="F26" s="8"/>
      <c r="H26" s="9"/>
      <c r="I26" s="9"/>
      <c r="J26" s="9"/>
    </row>
    <row r="27" spans="2:10" ht="10.5" customHeight="1">
      <c r="B27" s="8"/>
      <c r="C27" s="9"/>
      <c r="D27" s="9"/>
      <c r="E27" s="9"/>
      <c r="F27" s="8"/>
      <c r="H27" s="9"/>
      <c r="I27" s="9"/>
      <c r="J27" s="9"/>
    </row>
    <row r="28" spans="2:10" ht="10.5" customHeight="1">
      <c r="B28" s="8"/>
      <c r="C28" s="9"/>
      <c r="D28" s="9"/>
      <c r="E28" s="9"/>
      <c r="F28" s="8"/>
      <c r="H28" s="9"/>
      <c r="I28" s="9"/>
      <c r="J28" s="9"/>
    </row>
    <row r="29" spans="2:10" ht="10.5" customHeight="1">
      <c r="B29" s="8"/>
      <c r="C29" s="9"/>
      <c r="D29" s="9"/>
      <c r="E29" s="9"/>
      <c r="F29" s="8"/>
      <c r="H29" s="9"/>
      <c r="I29" s="9"/>
      <c r="J29" s="9"/>
    </row>
    <row r="30" spans="2:10" ht="10.5" customHeight="1">
      <c r="B30" s="8"/>
      <c r="C30" s="9"/>
      <c r="D30" s="9"/>
      <c r="E30" s="9"/>
      <c r="F30" s="8"/>
      <c r="H30" s="9"/>
      <c r="I30" s="9"/>
      <c r="J30" s="9"/>
    </row>
    <row r="31" spans="2:10" ht="10.5" customHeight="1">
      <c r="B31" s="8"/>
      <c r="C31" s="9"/>
      <c r="D31" s="9"/>
      <c r="E31" s="9"/>
      <c r="F31" s="8"/>
      <c r="H31" s="9"/>
      <c r="I31" s="9"/>
      <c r="J31" s="9"/>
    </row>
    <row r="32" spans="2:10" ht="10.5" customHeight="1">
      <c r="B32" s="8"/>
      <c r="C32" s="9"/>
      <c r="D32" s="9"/>
      <c r="E32" s="9"/>
      <c r="F32" s="8"/>
      <c r="H32" s="9"/>
      <c r="I32" s="9"/>
      <c r="J32" s="9"/>
    </row>
    <row r="33" spans="2:10" ht="10.5" customHeight="1">
      <c r="B33" s="8"/>
      <c r="C33" s="9"/>
      <c r="D33" s="9"/>
      <c r="E33" s="9"/>
      <c r="F33" s="8"/>
      <c r="H33" s="9"/>
      <c r="I33" s="9"/>
      <c r="J33" s="9"/>
    </row>
    <row r="34" spans="2:10" ht="10.5" customHeight="1">
      <c r="B34" s="8"/>
      <c r="C34" s="9"/>
      <c r="D34" s="9"/>
      <c r="E34" s="9"/>
      <c r="F34" s="8"/>
      <c r="H34" s="9"/>
      <c r="I34" s="9"/>
      <c r="J34" s="9"/>
    </row>
    <row r="35" spans="2:10" ht="10.5" customHeight="1">
      <c r="B35" s="8"/>
      <c r="C35" s="9"/>
      <c r="D35" s="9"/>
      <c r="E35" s="9"/>
      <c r="F35" s="8"/>
      <c r="H35" s="9"/>
      <c r="I35" s="9"/>
      <c r="J35" s="9"/>
    </row>
    <row r="36" spans="2:10" ht="10.5" customHeight="1">
      <c r="B36" s="8"/>
      <c r="C36" s="9"/>
      <c r="D36" s="9"/>
      <c r="E36" s="9"/>
      <c r="F36" s="8"/>
      <c r="H36" s="9"/>
      <c r="I36" s="9"/>
      <c r="J36" s="9"/>
    </row>
    <row r="37" spans="2:10" ht="10.5" customHeight="1">
      <c r="B37" s="8"/>
      <c r="C37" s="9"/>
      <c r="D37" s="9"/>
      <c r="E37" s="9"/>
      <c r="F37" s="8"/>
      <c r="H37" s="9"/>
      <c r="I37" s="9"/>
      <c r="J37" s="9"/>
    </row>
    <row r="38" spans="2:10" ht="10.5" customHeight="1">
      <c r="B38" s="8"/>
      <c r="C38" s="9"/>
      <c r="D38" s="9"/>
      <c r="E38" s="9"/>
      <c r="F38" s="8"/>
      <c r="H38" s="9"/>
      <c r="I38" s="9"/>
      <c r="J38" s="9"/>
    </row>
    <row r="39" spans="2:10" ht="10.5" customHeight="1">
      <c r="B39" s="8"/>
      <c r="C39" s="9"/>
      <c r="D39" s="9"/>
      <c r="E39" s="9"/>
      <c r="F39" s="8"/>
      <c r="H39" s="9"/>
      <c r="I39" s="9"/>
      <c r="J39" s="9"/>
    </row>
    <row r="40" spans="2:10" ht="10.5" customHeight="1">
      <c r="B40" s="8"/>
      <c r="C40" s="9"/>
      <c r="D40" s="9"/>
      <c r="E40" s="9"/>
      <c r="F40" s="8"/>
      <c r="H40" s="9"/>
      <c r="I40" s="9"/>
      <c r="J40" s="9"/>
    </row>
    <row r="41" spans="2:10" ht="10.5" customHeight="1">
      <c r="B41" s="8"/>
      <c r="C41" s="9"/>
      <c r="D41" s="9"/>
      <c r="E41" s="9"/>
      <c r="F41" s="8"/>
      <c r="H41" s="9"/>
      <c r="I41" s="9"/>
      <c r="J41" s="9"/>
    </row>
    <row r="42" spans="2:10" ht="10.5" customHeight="1">
      <c r="B42" s="8"/>
      <c r="C42" s="9"/>
      <c r="D42" s="9"/>
      <c r="E42" s="9"/>
      <c r="F42" s="8"/>
      <c r="H42" s="9"/>
      <c r="I42" s="9"/>
      <c r="J42" s="9"/>
    </row>
    <row r="43" spans="2:10" ht="10.5" customHeight="1">
      <c r="B43" s="8"/>
      <c r="C43" s="9"/>
      <c r="D43" s="9"/>
      <c r="E43" s="9"/>
      <c r="F43" s="8"/>
      <c r="H43" s="9"/>
      <c r="I43" s="9"/>
      <c r="J43" s="9"/>
    </row>
    <row r="44" spans="2:10" ht="10.5" customHeight="1">
      <c r="B44" s="8"/>
      <c r="C44" s="9"/>
      <c r="D44" s="9"/>
      <c r="E44" s="9"/>
      <c r="F44" s="8"/>
      <c r="H44" s="9"/>
      <c r="I44" s="9"/>
      <c r="J44" s="9"/>
    </row>
    <row r="45" spans="2:10" ht="10.5" customHeight="1">
      <c r="B45" s="8"/>
      <c r="C45" s="9"/>
      <c r="D45" s="9"/>
      <c r="E45" s="9"/>
      <c r="F45" s="8"/>
      <c r="H45" s="9"/>
      <c r="I45" s="9"/>
      <c r="J45" s="9"/>
    </row>
    <row r="46" spans="2:10" ht="10.5" customHeight="1">
      <c r="B46" s="8"/>
      <c r="C46" s="9"/>
      <c r="D46" s="9"/>
      <c r="E46" s="9"/>
      <c r="F46" s="8"/>
      <c r="H46" s="9"/>
      <c r="I46" s="9"/>
      <c r="J46" s="9"/>
    </row>
    <row r="47" spans="2:10" ht="10.5" customHeight="1">
      <c r="B47" s="8"/>
      <c r="C47" s="9"/>
      <c r="D47" s="9"/>
      <c r="E47" s="9"/>
      <c r="F47" s="8"/>
      <c r="H47" s="9"/>
      <c r="I47" s="9"/>
      <c r="J47" s="9"/>
    </row>
    <row r="48" spans="2:10" ht="10.5" customHeight="1">
      <c r="B48" s="8"/>
      <c r="C48" s="9"/>
      <c r="D48" s="9"/>
      <c r="E48" s="9"/>
      <c r="F48" s="8"/>
      <c r="H48" s="9"/>
      <c r="I48" s="9"/>
      <c r="J48" s="9"/>
    </row>
    <row r="49" spans="2:10" ht="10.5" customHeight="1">
      <c r="B49" s="8"/>
      <c r="C49" s="9"/>
      <c r="D49" s="9"/>
      <c r="E49" s="9"/>
      <c r="F49" s="8"/>
      <c r="H49" s="9"/>
      <c r="I49" s="9"/>
      <c r="J49" s="9"/>
    </row>
    <row r="50" spans="2:10" ht="10.5" customHeight="1">
      <c r="B50" s="8"/>
      <c r="C50" s="9"/>
      <c r="D50" s="9"/>
      <c r="E50" s="9"/>
      <c r="F50" s="8"/>
      <c r="H50" s="9"/>
      <c r="I50" s="9"/>
      <c r="J50" s="9"/>
    </row>
    <row r="51" spans="2:10" ht="10.5" customHeight="1">
      <c r="B51" s="8"/>
      <c r="C51" s="9"/>
      <c r="D51" s="9"/>
      <c r="E51" s="9"/>
      <c r="F51" s="8"/>
      <c r="H51" s="9"/>
      <c r="I51" s="9"/>
      <c r="J51" s="9"/>
    </row>
    <row r="52" spans="2:10" ht="10.5" customHeight="1">
      <c r="B52" s="8"/>
      <c r="C52" s="9"/>
      <c r="D52" s="9"/>
      <c r="E52" s="9"/>
      <c r="F52" s="8"/>
      <c r="H52" s="9"/>
      <c r="I52" s="9"/>
      <c r="J52" s="9"/>
    </row>
    <row r="53" spans="2:10" ht="10.5" customHeight="1">
      <c r="B53" s="8"/>
      <c r="C53" s="9"/>
      <c r="D53" s="9"/>
      <c r="E53" s="9"/>
      <c r="F53" s="8"/>
      <c r="H53" s="9"/>
      <c r="I53" s="9"/>
      <c r="J53" s="9"/>
    </row>
    <row r="54" spans="2:10" ht="10.5" customHeight="1">
      <c r="B54" s="8"/>
      <c r="C54" s="9"/>
      <c r="D54" s="9"/>
      <c r="E54" s="9"/>
      <c r="F54" s="8"/>
      <c r="H54" s="9"/>
      <c r="I54" s="9"/>
      <c r="J54" s="9"/>
    </row>
    <row r="55" spans="2:10" ht="10.5" customHeight="1">
      <c r="B55" s="8"/>
      <c r="C55" s="9"/>
      <c r="D55" s="9"/>
      <c r="E55" s="9"/>
      <c r="F55" s="8"/>
      <c r="H55" s="9"/>
      <c r="I55" s="9"/>
      <c r="J55" s="9"/>
    </row>
    <row r="56" spans="2:10" ht="10.5" customHeight="1">
      <c r="B56" s="8"/>
      <c r="C56" s="9"/>
      <c r="D56" s="9"/>
      <c r="E56" s="9"/>
      <c r="F56" s="8"/>
      <c r="H56" s="9"/>
      <c r="I56" s="9"/>
      <c r="J56" s="9"/>
    </row>
    <row r="57" spans="2:10" ht="10.5" customHeight="1">
      <c r="B57" s="8"/>
      <c r="C57" s="9"/>
      <c r="D57" s="9"/>
      <c r="E57" s="9"/>
      <c r="F57" s="8"/>
      <c r="H57" s="9"/>
      <c r="I57" s="9"/>
      <c r="J57" s="9"/>
    </row>
    <row r="58" spans="2:10" ht="10.5" customHeight="1">
      <c r="B58" s="8"/>
      <c r="C58" s="9"/>
      <c r="D58" s="9"/>
      <c r="E58" s="9"/>
      <c r="F58" s="8"/>
      <c r="H58" s="9"/>
      <c r="I58" s="9"/>
      <c r="J58" s="9"/>
    </row>
    <row r="59" spans="2:10" ht="10.5" customHeight="1">
      <c r="B59" s="8"/>
      <c r="C59" s="9"/>
      <c r="D59" s="9"/>
      <c r="E59" s="9"/>
      <c r="F59" s="8"/>
      <c r="H59" s="9"/>
      <c r="I59" s="9"/>
      <c r="J59" s="9"/>
    </row>
    <row r="60" spans="2:10" ht="10.5" customHeight="1">
      <c r="B60" s="8"/>
      <c r="C60" s="9"/>
      <c r="D60" s="9"/>
      <c r="E60" s="9"/>
      <c r="F60" s="8"/>
      <c r="H60" s="9"/>
      <c r="I60" s="9"/>
      <c r="J60" s="9"/>
    </row>
    <row r="61" spans="2:10" ht="10.5" customHeight="1">
      <c r="B61" s="8"/>
      <c r="C61" s="9"/>
      <c r="D61" s="9"/>
      <c r="E61" s="9"/>
      <c r="F61" s="8"/>
      <c r="H61" s="9"/>
      <c r="I61" s="9"/>
      <c r="J61" s="9"/>
    </row>
    <row r="62" spans="2:10" ht="10.5" customHeight="1">
      <c r="B62" s="8"/>
      <c r="C62" s="9"/>
      <c r="D62" s="9"/>
      <c r="E62" s="9"/>
      <c r="F62" s="8"/>
      <c r="H62" s="9"/>
      <c r="I62" s="9"/>
      <c r="J62" s="9"/>
    </row>
    <row r="63" spans="2:10" ht="10.5" customHeight="1">
      <c r="B63" s="8"/>
      <c r="C63" s="9"/>
      <c r="D63" s="9"/>
      <c r="E63" s="9"/>
      <c r="F63" s="8"/>
      <c r="H63" s="9"/>
      <c r="I63" s="9"/>
      <c r="J63" s="9"/>
    </row>
    <row r="64" spans="2:10" ht="10.5" customHeight="1">
      <c r="B64" s="8"/>
      <c r="C64" s="9"/>
      <c r="D64" s="9"/>
      <c r="E64" s="9"/>
      <c r="F64" s="8"/>
      <c r="H64" s="9"/>
      <c r="I64" s="9"/>
      <c r="J64" s="9"/>
    </row>
    <row r="65" spans="2:10" ht="10.5" customHeight="1">
      <c r="B65" s="8"/>
      <c r="C65" s="9"/>
      <c r="D65" s="9"/>
      <c r="E65" s="9"/>
      <c r="F65" s="8"/>
      <c r="H65" s="9"/>
      <c r="I65" s="9"/>
      <c r="J65" s="9"/>
    </row>
    <row r="66" spans="2:10" ht="10.5" customHeight="1">
      <c r="B66" s="8"/>
      <c r="C66" s="9"/>
      <c r="D66" s="9"/>
      <c r="E66" s="9"/>
      <c r="F66" s="8"/>
      <c r="H66" s="9"/>
      <c r="I66" s="9"/>
      <c r="J66" s="9"/>
    </row>
    <row r="67" spans="2:10" ht="10.5" customHeight="1">
      <c r="J67" s="9"/>
    </row>
    <row r="68" spans="2:10" ht="10.5" customHeight="1">
      <c r="J68" s="9"/>
    </row>
    <row r="69" spans="2:10" ht="10.5" customHeight="1">
      <c r="J69" s="9"/>
    </row>
    <row r="70" spans="2:10" ht="10.5" customHeight="1">
      <c r="J70" s="9"/>
    </row>
    <row r="71" spans="2:10" ht="10.5" customHeight="1">
      <c r="J71" s="9"/>
    </row>
    <row r="72" spans="2:10" ht="10.5" customHeight="1">
      <c r="J72" s="9"/>
    </row>
    <row r="73" spans="2:10" ht="10.5" customHeight="1">
      <c r="J73" s="9"/>
    </row>
    <row r="74" spans="2:10" ht="10.5" customHeight="1">
      <c r="J74" s="9"/>
    </row>
    <row r="75" spans="2:10" ht="10.5" customHeight="1">
      <c r="J75" s="9"/>
    </row>
    <row r="76" spans="2:10" ht="10.5" customHeight="1">
      <c r="J76" s="9"/>
    </row>
    <row r="77" spans="2:10" ht="10.5" customHeight="1">
      <c r="J77" s="9"/>
    </row>
    <row r="78" spans="2:10" ht="10.5" customHeight="1">
      <c r="J78" s="9"/>
    </row>
    <row r="79" spans="2:10" ht="10.5" customHeight="1">
      <c r="J79" s="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common_types</vt:lpstr>
      <vt:lpstr>game_types</vt:lpstr>
      <vt:lpstr>ads_types</vt:lpstr>
      <vt:lpstr>error_types</vt:lpstr>
      <vt:lpstr>item_types</vt:lpstr>
      <vt:lpstr>haptic_types</vt:lpstr>
      <vt:lpstr>push_types</vt:lpstr>
      <vt:lpstr>shop_types</vt:lpstr>
      <vt:lpstr>event_types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2017-08-02T09:13:23Z</dcterms:created>
  <dcterms:modified xsi:type="dcterms:W3CDTF">2026-01-20T08:59:32Z</dcterms:modified>
</cp:coreProperties>
</file>